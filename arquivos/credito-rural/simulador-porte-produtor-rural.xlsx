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Flavia.Gomes\Downloads\"/>
    </mc:Choice>
  </mc:AlternateContent>
  <xr:revisionPtr revIDLastSave="0" documentId="8_{FFF66A1B-500E-4715-841A-F5B23FA9FA12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Simulador Porte" sheetId="1" r:id="rId1"/>
    <sheet name="Regras " sheetId="2" r:id="rId2"/>
    <sheet name="Cálculos - não editar" sheetId="3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" i="3" l="1"/>
  <c r="G26" i="1" s="1"/>
  <c r="J14" i="3"/>
  <c r="I14" i="3"/>
  <c r="N14" i="3" s="1"/>
  <c r="J13" i="3"/>
  <c r="I13" i="3"/>
  <c r="L13" i="3" s="1"/>
  <c r="N12" i="3"/>
  <c r="M12" i="3"/>
  <c r="L12" i="3"/>
  <c r="K12" i="3"/>
  <c r="J12" i="3"/>
  <c r="I12" i="3"/>
  <c r="J11" i="3"/>
  <c r="I11" i="3"/>
  <c r="M11" i="3" s="1"/>
  <c r="J10" i="3"/>
  <c r="I10" i="3"/>
  <c r="N10" i="3" s="1"/>
  <c r="N9" i="3"/>
  <c r="M9" i="3"/>
  <c r="J9" i="3"/>
  <c r="I9" i="3"/>
  <c r="L9" i="3" s="1"/>
  <c r="M8" i="3"/>
  <c r="L8" i="3"/>
  <c r="K8" i="3"/>
  <c r="J8" i="3"/>
  <c r="I8" i="3"/>
  <c r="N8" i="3" s="1"/>
  <c r="J7" i="3"/>
  <c r="I7" i="3"/>
  <c r="N7" i="3" s="1"/>
  <c r="J6" i="3"/>
  <c r="I6" i="3"/>
  <c r="N6" i="3" s="1"/>
  <c r="N5" i="3"/>
  <c r="M5" i="3"/>
  <c r="J5" i="3"/>
  <c r="I5" i="3"/>
  <c r="L5" i="3" s="1"/>
  <c r="J4" i="3"/>
  <c r="I4" i="3"/>
  <c r="M4" i="3" s="1"/>
  <c r="J3" i="3"/>
  <c r="I3" i="3"/>
  <c r="N3" i="3" s="1"/>
  <c r="L4" i="3" l="1"/>
  <c r="M13" i="3"/>
  <c r="N4" i="3"/>
  <c r="N13" i="3"/>
  <c r="K4" i="3"/>
  <c r="K11" i="3"/>
  <c r="L11" i="3"/>
  <c r="L6" i="3"/>
  <c r="N11" i="3"/>
  <c r="L14" i="3"/>
  <c r="K5" i="3"/>
  <c r="M6" i="3"/>
  <c r="K9" i="3"/>
  <c r="M10" i="3"/>
  <c r="K13" i="3"/>
  <c r="M14" i="3"/>
  <c r="K3" i="3"/>
  <c r="K7" i="3"/>
  <c r="L3" i="3"/>
  <c r="L7" i="3"/>
  <c r="M3" i="3"/>
  <c r="B19" i="3" s="1"/>
  <c r="K6" i="3"/>
  <c r="M7" i="3"/>
  <c r="K10" i="3"/>
  <c r="K14" i="3"/>
  <c r="L10" i="3"/>
  <c r="B17" i="3" l="1"/>
  <c r="G9" i="1" s="1"/>
  <c r="B21" i="3"/>
  <c r="B18" i="3"/>
  <c r="B20" i="3" s="1"/>
  <c r="B25" i="3" l="1"/>
  <c r="B22" i="3"/>
  <c r="B23" i="3"/>
  <c r="B26" i="3" s="1"/>
  <c r="B24" i="3"/>
  <c r="B27" i="3" l="1"/>
  <c r="B28" i="3" s="1"/>
  <c r="G10" i="1"/>
  <c r="G11" i="1"/>
  <c r="G12" i="1"/>
  <c r="G27" i="1"/>
  <c r="B29" i="3" l="1"/>
  <c r="G28" i="1"/>
  <c r="F5" i="1" l="1"/>
  <c r="F16" i="1"/>
  <c r="G29" i="1"/>
</calcChain>
</file>

<file path=xl/sharedStrings.xml><?xml version="1.0" encoding="utf-8"?>
<sst xmlns="http://schemas.openxmlformats.org/spreadsheetml/2006/main" count="201" uniqueCount="132">
  <si>
    <t>SIMULADOR SIMPLIFICADO DE PORTE DO PRODUTOR RURAL</t>
  </si>
  <si>
    <t>Preencha os campos amarelos. O porte será calculado automaticamente pelas faixas da RBA e pelas regras especiais do Pronaf, Pronamp e rendimentos de atividades não rurais.</t>
  </si>
  <si>
    <t>1. INFORMAÇÕES DO PRODUTOR</t>
  </si>
  <si>
    <t>3. RESULTADO PARA COLOCAR NO CAPES</t>
  </si>
  <si>
    <t>Campo</t>
  </si>
  <si>
    <t>Preenchimento</t>
  </si>
  <si>
    <t>Orientação</t>
  </si>
  <si>
    <t>CAF ativa com enquadramento Pronaf?</t>
  </si>
  <si>
    <r>
      <t>Marque</t>
    </r>
    <r>
      <rPr>
        <b/>
        <sz val="10"/>
        <color rgb="FF003641"/>
        <rFont val="Sicoob Sans"/>
        <family val="2"/>
      </rPr>
      <t xml:space="preserve"> SIM somente quando o CAF estiver válido e indicar o enquadramento no Pronaf.</t>
    </r>
  </si>
  <si>
    <t>Condição da terra</t>
  </si>
  <si>
    <t>Informação utilizada para verificar as condições do Pronamp.</t>
  </si>
  <si>
    <r>
      <t xml:space="preserve">Ano-base </t>
    </r>
    <r>
      <rPr>
        <i/>
        <sz val="10"/>
        <color rgb="FF003641"/>
        <rFont val="Sicoob Sans"/>
        <family val="2"/>
      </rPr>
      <t>(opcional)</t>
    </r>
  </si>
  <si>
    <t>Utilize um ano civil de produção normal, verificado entre os três últimos anos.</t>
  </si>
  <si>
    <t>Indicador</t>
  </si>
  <si>
    <t>Resultado</t>
  </si>
  <si>
    <t>Condomínio/parceria?</t>
  </si>
  <si>
    <r>
      <t xml:space="preserve">Quando </t>
    </r>
    <r>
      <rPr>
        <b/>
        <sz val="10"/>
        <color rgb="FF003641"/>
        <rFont val="Sicoob Sans"/>
        <family val="2"/>
      </rPr>
      <t>SIM</t>
    </r>
    <r>
      <rPr>
        <sz val="10"/>
        <color rgb="FF003641"/>
        <rFont val="Sicoob Sans"/>
        <family val="2"/>
      </rPr>
      <t>,</t>
    </r>
    <r>
      <rPr>
        <sz val="10"/>
        <color rgb="FF49479D"/>
        <rFont val="Sicoob Sans"/>
        <family val="2"/>
      </rPr>
      <t xml:space="preserve"> </t>
    </r>
    <r>
      <rPr>
        <b/>
        <sz val="10"/>
        <color rgb="FF003641"/>
        <rFont val="Sicoob Sans"/>
        <family val="2"/>
      </rPr>
      <t>utilize as rendas do condômino ou parceiro com a maior RBA.</t>
    </r>
  </si>
  <si>
    <t>RBA</t>
  </si>
  <si>
    <t>Receita Bruta Total</t>
  </si>
  <si>
    <t>2. RENDAS ANUAIS</t>
  </si>
  <si>
    <t>% da atividade agropecuária</t>
  </si>
  <si>
    <t>Item</t>
  </si>
  <si>
    <t>Tipo de renda</t>
  </si>
  <si>
    <t>Descrição (opcional)</t>
  </si>
  <si>
    <t>Valor anual</t>
  </si>
  <si>
    <t>% de atividades não rurais</t>
  </si>
  <si>
    <t>REGRA APLICADA</t>
  </si>
  <si>
    <t>VERIFICAÇÕES</t>
  </si>
  <si>
    <t>Dica: utilize “Outras rendas de atividade não rural” para rendas decorrentes de trabalho ou negócio não rural. Aposentadorias, benefícios, aluguéis e aplicações possuem opções próprias.</t>
  </si>
  <si>
    <t>CAF/Pronaf</t>
  </si>
  <si>
    <t>Condições do Pronamp</t>
  </si>
  <si>
    <t>Regra de atividade não rural &gt; 20%</t>
  </si>
  <si>
    <t>Base normativa determinante</t>
  </si>
  <si>
    <t>Este simulador é um apoio operacional. A cooperativa deve validar os documentos, a representatividade do período e o enquadramento normativo do caso concreto.</t>
  </si>
  <si>
    <t>REGRAS DE CLASSIFICAÇÃO DO PORTE</t>
  </si>
  <si>
    <t>Baseadas no Manual de Crédiro Rural</t>
  </si>
  <si>
    <t>Porte</t>
  </si>
  <si>
    <t>Regra pela RBA</t>
  </si>
  <si>
    <t>Regra especial</t>
  </si>
  <si>
    <t>Conclusão prática</t>
  </si>
  <si>
    <t>Base normativa</t>
  </si>
  <si>
    <t>PEQUENO</t>
  </si>
  <si>
    <t>RBA de até R$ 500.000,00.</t>
  </si>
  <si>
    <t>CAF válido com enquadramento no Pronaf.</t>
  </si>
  <si>
    <t>Pode ser pequeno pela faixa da RBA ou pelo enquadramento formal no Pronaf.</t>
  </si>
  <si>
    <t>MCR 1-2-3(a), 1-2-5(e) e MCR 10-2.</t>
  </si>
  <si>
    <t>MÉDIO</t>
  </si>
  <si>
    <t>RBA acima de R$ 500.000,00 até R$ 3.500.000,00.</t>
  </si>
  <si>
    <t>Atendimento às condições do Pronamp.</t>
  </si>
  <si>
    <t>Pode permanecer médio pela faixa da RBA mesmo sem atender ao Pronamp, desde que não incida outra regra especial.</t>
  </si>
  <si>
    <t>MCR 1-2-3(b), 1-2-5(f) e MCR 8-1.</t>
  </si>
  <si>
    <t>GRANDE</t>
  </si>
  <si>
    <t>RBA acima de R$ 3.500.000,00.</t>
  </si>
  <si>
    <t>Rendimentos de atividades não rurais superiores a 20% da Receita Bruta Total, ressalvados Pronaf e Pronamp.</t>
  </si>
  <si>
    <t>Pode ser grande pelo valor da RBA ou pela composição da receita.</t>
  </si>
  <si>
    <t>MCR 1-2-3(c) e 1-2-5(g).</t>
  </si>
  <si>
    <t>ORDEM DE ANÁLISE</t>
  </si>
  <si>
    <t>1</t>
  </si>
  <si>
    <t>Apurar a RBA</t>
  </si>
  <si>
    <t>Somar as receitas de todas as atividades rurais.</t>
  </si>
  <si>
    <t>2</t>
  </si>
  <si>
    <t>Calcular o porte-base</t>
  </si>
  <si>
    <t>Aplicar as faixas de R$ 500 mil e R$ 3,5 milhões.</t>
  </si>
  <si>
    <t>3</t>
  </si>
  <si>
    <t>Verificar Pronaf</t>
  </si>
  <si>
    <t>CAF válido com enquadramento no Pronaf caracteriza pequeno produtor.</t>
  </si>
  <si>
    <t>4</t>
  </si>
  <si>
    <t>Verificar Pronamp</t>
  </si>
  <si>
    <t>Condição da terra, RBT até R$ 3,5 milhões e mínimo de 80% agropecuário.</t>
  </si>
  <si>
    <t>5</t>
  </si>
  <si>
    <t>Verificar a regra dos 20%</t>
  </si>
  <si>
    <t>Rendimentos de atividades não rurais superiores a 20% da RBT caracterizam grande produtor, ressalvadas as regras especiais.</t>
  </si>
  <si>
    <t xml:space="preserve"> BASE NORMATIVA E FONTES</t>
  </si>
  <si>
    <t>Norma</t>
  </si>
  <si>
    <t>Conteúdo utilizado</t>
  </si>
  <si>
    <t>Fonte oficial</t>
  </si>
  <si>
    <t>MCR 1-2-3 e 1-2-5</t>
  </si>
  <si>
    <t>Faixas da RBA, composição, ano representativo, condomínio/parceria e regras especiais.</t>
  </si>
  <si>
    <t>https://www3.bcb.gov.br/mcr</t>
  </si>
  <si>
    <t>Resolução CMN nº 5.235/2025</t>
  </si>
  <si>
    <t>Limites de R$ 500 mil e R$ 3,5 milhões.</t>
  </si>
  <si>
    <t>https://www.bcb.gov.br/estabilidadefinanceira/exibenormativo?numero=5235&amp;tipo=Resolu%C3%A7%C3%A3o+CMN</t>
  </si>
  <si>
    <t>MCR 8-1 / Resolução CMN nº 5.229/2025</t>
  </si>
  <si>
    <t>Condições do Pronamp e limite da renda bruta anual.</t>
  </si>
  <si>
    <t>https://www.bcb.gov.br/estabilidadefinanceira/exibenormativo?numero=5229&amp;tipo=Resolu%C3%A7%C3%A3o+CMN</t>
  </si>
  <si>
    <t>MCR 10-2 / Resolução CMN nº 5.230/2025</t>
  </si>
  <si>
    <t>CAF e critérios de enquadramento no Pronaf.</t>
  </si>
  <si>
    <t>https://www.bcb.gov.br/estabilidadefinanceira/exibenormativo?numero=5230&amp;tipo=Resolu%C3%A7%C3%A3o+CMN</t>
  </si>
  <si>
    <t>Atualização considerada</t>
  </si>
  <si>
    <t>MCR nº 757, de 17/07/2026, conforme texto fornecido para elaboração da planilha.</t>
  </si>
  <si>
    <t>OBSERVAÇÃO</t>
  </si>
  <si>
    <t>A classificação do porte do produtor rural deve considerar, de forma conjunta, a Receita Bruta Agropecuária Anual (RBA) e as regras especiais previstas no Manual de Crédito Rural. O porte-base é definido pelas faixas da RBA. Em seguida, devem ser verificados o CAF válido com enquadramento no Pronaf, as condições do Pronamp e a participação dos rendimentos provenientes de atividades não rurais na Receita Bruta Total. O porte não se confunde com a elegibilidade a uma linha específica de crédito. Assim, o produtor pode permanecer classificado como médio pela faixa da RBA mesmo sem atender às condições do Pronamp, desde que não seja alcançado por outra regra especial de classificação.</t>
  </si>
  <si>
    <t>A RBA deve corresponder ao somatório das receitas provenientes de todas as atividades rurais e ser representativa de um ano civil de produção normal, verificado entre os três últimos anos. Em condomínio ou parceria, utiliza-se a classificação do produtor com a maior RBA.</t>
  </si>
  <si>
    <t>PARÂMETROS E CÁLCULOS — NÃO EDITAR</t>
  </si>
  <si>
    <t>Categoria</t>
  </si>
  <si>
    <t>Integra RBA?</t>
  </si>
  <si>
    <t>Compõe os 80% agropecuários do Pronamp?</t>
  </si>
  <si>
    <t>Compõe a parcela não agropecuária do Pronamp?</t>
  </si>
  <si>
    <t>Atividade não rural para regra dos 20%?</t>
  </si>
  <si>
    <t>Tipo informado</t>
  </si>
  <si>
    <t>Valor</t>
  </si>
  <si>
    <t>Agropecuária Pronamp?</t>
  </si>
  <si>
    <t>Não agro Pronamp?</t>
  </si>
  <si>
    <t>Atividade não rural?</t>
  </si>
  <si>
    <t>Produção agrícola</t>
  </si>
  <si>
    <t>ATIVIDADE AGROPECUÁRIA</t>
  </si>
  <si>
    <t>SIM</t>
  </si>
  <si>
    <t>NÃO</t>
  </si>
  <si>
    <t>Produção pecuária</t>
  </si>
  <si>
    <t>Receita de entidade integradora (agropecuária)</t>
  </si>
  <si>
    <t>Extrativismo vegetal ou animal</t>
  </si>
  <si>
    <t>OUTRA ATIVIDADE RURAL</t>
  </si>
  <si>
    <t>Serviços afins prestados pelo produtor Rural</t>
  </si>
  <si>
    <t>Outras receitas de atividade rural</t>
  </si>
  <si>
    <t>Salário / honorários / pró-labore</t>
  </si>
  <si>
    <t>ATIVIDADE NÃO RURAL</t>
  </si>
  <si>
    <t>Rendimentos empresarial não rural</t>
  </si>
  <si>
    <t>Declaração de Renda</t>
  </si>
  <si>
    <t>Aposentadoria / benefício / pensão</t>
  </si>
  <si>
    <t xml:space="preserve">Aluguel </t>
  </si>
  <si>
    <t>Aplicações financeiras</t>
  </si>
  <si>
    <t>Outras rendas não agropecuárias</t>
  </si>
  <si>
    <t>Demais rendas não agropecuárias</t>
  </si>
  <si>
    <t>Rendimentos de atividades não rurais</t>
  </si>
  <si>
    <t>% atividade agropecuária</t>
  </si>
  <si>
    <t>% atividades não rurais</t>
  </si>
  <si>
    <t>Porte-base</t>
  </si>
  <si>
    <t>Atende Pronamp?</t>
  </si>
  <si>
    <t>Regra dos 20%?</t>
  </si>
  <si>
    <t>Porte final</t>
  </si>
  <si>
    <t>Justificativa</t>
  </si>
  <si>
    <t>Fontes: Manual de Crédito Rural – MCR 1-2-3 e 1-2-5; MCR 8-1; MCR 10-2. Atualização considerada: MCR nº 757, de 17/07/2026, conforme o texto normativo fornecido. Consulta oficial: https://www3.bcb.gov.br/mcr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</si>
</sst>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R\$\ #,##0.00"/>
    <numFmt numFmtId="165" formatCode="&quot;R$&quot;\ #,##0.00"/>
  </numFmts>
  <fonts count="35">
    <font>
      <sz val="11"/>
      <name val="Carlito"/>
    </font>
    <font>
      <b/>
      <sz val="16"/>
      <color rgb="FFFFFFFF"/>
      <name val="Sicoob Sans"/>
      <family val="2"/>
    </font>
    <font>
      <sz val="11"/>
      <name val="Sicoob Sans"/>
      <family val="2"/>
    </font>
    <font>
      <i/>
      <sz val="11"/>
      <color rgb="FF1F1F1F"/>
      <name val="Sicoob Sans"/>
      <family val="2"/>
    </font>
    <font>
      <b/>
      <sz val="11"/>
      <color rgb="FFFFFFFF"/>
      <name val="Sicoob Sans"/>
      <family val="2"/>
    </font>
    <font>
      <b/>
      <sz val="11"/>
      <color rgb="FF1F1F1F"/>
      <name val="Sicoob Sans"/>
      <family val="2"/>
    </font>
    <font>
      <sz val="11"/>
      <color rgb="FF1F1F1F"/>
      <name val="Sicoob Sans"/>
      <family val="2"/>
    </font>
    <font>
      <b/>
      <sz val="12"/>
      <color rgb="FFFFFFFF"/>
      <name val="Sicoob Sans"/>
      <family val="2"/>
    </font>
    <font>
      <b/>
      <sz val="10"/>
      <color rgb="FFFFFFFF"/>
      <name val="Sicoob Sans"/>
      <family val="2"/>
    </font>
    <font>
      <sz val="10"/>
      <name val="Sicoob Sans"/>
      <family val="2"/>
    </font>
    <font>
      <b/>
      <sz val="10"/>
      <color rgb="FF1F1F1F"/>
      <name val="Sicoob Sans"/>
      <family val="2"/>
    </font>
    <font>
      <sz val="10"/>
      <color rgb="FF1F1F1F"/>
      <name val="Sicoob Sans"/>
      <family val="2"/>
    </font>
    <font>
      <b/>
      <sz val="11"/>
      <color rgb="FF375623"/>
      <name val="Sicoob Sans"/>
      <family val="2"/>
    </font>
    <font>
      <sz val="10"/>
      <color rgb="FF003641"/>
      <name val="Sicoob Sans"/>
      <family val="2"/>
    </font>
    <font>
      <sz val="10"/>
      <color rgb="FF49479D"/>
      <name val="Sicoob Sans"/>
      <family val="2"/>
    </font>
    <font>
      <sz val="10"/>
      <color rgb="FFC9D200"/>
      <name val="Sicoob Sans"/>
      <family val="2"/>
    </font>
    <font>
      <i/>
      <sz val="10"/>
      <color rgb="FF003641"/>
      <name val="Sicoob Sans"/>
      <family val="2"/>
    </font>
    <font>
      <b/>
      <sz val="11"/>
      <color rgb="FF003641"/>
      <name val="Sicoob Sans"/>
      <family val="2"/>
    </font>
    <font>
      <b/>
      <sz val="10"/>
      <color rgb="FF003641"/>
      <name val="Sicoob Sans"/>
      <family val="2"/>
    </font>
    <font>
      <sz val="11"/>
      <color rgb="FF003641"/>
      <name val="Sicoob Sans"/>
      <family val="2"/>
    </font>
    <font>
      <b/>
      <sz val="12"/>
      <color rgb="FF003641"/>
      <name val="Sicoob Sans"/>
      <family val="2"/>
    </font>
    <font>
      <b/>
      <i/>
      <sz val="12"/>
      <color theme="0"/>
      <name val="Sicoob Sans"/>
      <family val="2"/>
    </font>
    <font>
      <b/>
      <sz val="11"/>
      <color theme="0"/>
      <name val="Sicoob Sans"/>
      <family val="2"/>
    </font>
    <font>
      <b/>
      <i/>
      <sz val="11"/>
      <color theme="0"/>
      <name val="Sicoob Sans"/>
      <family val="2"/>
    </font>
    <font>
      <b/>
      <sz val="16"/>
      <color rgb="FF003641"/>
      <name val="Sicoob Sans"/>
      <family val="2"/>
    </font>
    <font>
      <b/>
      <sz val="18"/>
      <color rgb="FFFFFFFF"/>
      <name val="Sicoob Sans"/>
      <family val="2"/>
    </font>
    <font>
      <b/>
      <sz val="14"/>
      <color theme="0"/>
      <name val="Sicoob Sans"/>
      <family val="2"/>
    </font>
    <font>
      <sz val="11"/>
      <name val="Carlito"/>
    </font>
    <font>
      <b/>
      <sz val="16"/>
      <color rgb="FFFFFFFF"/>
      <name val="Aptos"/>
      <family val="2"/>
    </font>
    <font>
      <sz val="11"/>
      <name val="Aptos"/>
      <family val="2"/>
    </font>
    <font>
      <b/>
      <sz val="11"/>
      <color rgb="FF1F1F1F"/>
      <name val="Aptos"/>
      <family val="2"/>
    </font>
    <font>
      <sz val="11"/>
      <color rgb="FF1F1F1F"/>
      <name val="Aptos"/>
      <family val="2"/>
    </font>
    <font>
      <i/>
      <sz val="11"/>
      <color rgb="FF1F1F1F"/>
      <name val="Aptos"/>
      <family val="2"/>
    </font>
    <font>
      <sz val="10"/>
      <name val="Arial Unicode MS"/>
    </font>
    <font>
      <b/>
      <sz val="14"/>
      <color rgb="FF003641"/>
      <name val="Sicoob Sans"/>
      <family val="2"/>
    </font>
  </fonts>
  <fills count="1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D9E1F2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FFF8FBFD"/>
      </patternFill>
    </fill>
    <fill>
      <patternFill patternType="solid">
        <fgColor rgb="FFFBFFA7"/>
        <bgColor indexed="64"/>
      </patternFill>
    </fill>
    <fill>
      <patternFill patternType="solid">
        <fgColor rgb="FF003641"/>
        <bgColor indexed="64"/>
      </patternFill>
    </fill>
    <fill>
      <patternFill patternType="solid">
        <fgColor rgb="FFD1F7FF"/>
        <bgColor indexed="64"/>
      </patternFill>
    </fill>
    <fill>
      <patternFill patternType="solid">
        <fgColor rgb="FF7DB61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A091"/>
        <bgColor indexed="64"/>
      </patternFill>
    </fill>
    <fill>
      <patternFill patternType="solid">
        <fgColor rgb="FF49479D"/>
        <bgColor indexed="64"/>
      </patternFill>
    </fill>
  </fills>
  <borders count="28">
    <border>
      <left/>
      <right/>
      <top/>
      <bottom/>
      <diagonal/>
    </border>
    <border>
      <left/>
      <right/>
      <top/>
      <bottom/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/>
      <right/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/>
      <top/>
      <bottom/>
      <diagonal/>
    </border>
    <border>
      <left/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/>
      <top/>
      <bottom style="medium">
        <color theme="0" tint="-0.34998626667073579"/>
      </bottom>
      <diagonal/>
    </border>
    <border>
      <left/>
      <right/>
      <top/>
      <bottom style="medium">
        <color theme="0" tint="-0.34998626667073579"/>
      </bottom>
      <diagonal/>
    </border>
    <border>
      <left/>
      <right style="medium">
        <color theme="0" tint="-0.34998626667073579"/>
      </right>
      <top/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 style="medium">
        <color theme="0" tint="-0.34998626667073579"/>
      </right>
      <top/>
      <bottom style="medium">
        <color theme="0" tint="-0.34998626667073579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/>
      <bottom style="thin">
        <color theme="0" tint="-0.34998626667073579"/>
      </bottom>
      <diagonal/>
    </border>
  </borders>
  <cellStyleXfs count="2">
    <xf numFmtId="0" fontId="0" fillId="0" borderId="0"/>
    <xf numFmtId="9" fontId="27" fillId="0" borderId="0" applyFont="0" applyFill="0" applyBorder="0" applyAlignment="0" applyProtection="0"/>
  </cellStyleXfs>
  <cellXfs count="147">
    <xf numFmtId="0" fontId="0" fillId="0" borderId="0" xfId="0"/>
    <xf numFmtId="0" fontId="2" fillId="0" borderId="0" xfId="0" applyFont="1"/>
    <xf numFmtId="0" fontId="6" fillId="0" borderId="1" xfId="0" applyFont="1" applyBorder="1" applyAlignment="1">
      <alignment vertical="center" wrapText="1"/>
    </xf>
    <xf numFmtId="0" fontId="17" fillId="4" borderId="14" xfId="0" applyFont="1" applyFill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7" fillId="5" borderId="17" xfId="0" applyFont="1" applyFill="1" applyBorder="1" applyAlignment="1">
      <alignment horizontal="center" vertical="center"/>
    </xf>
    <xf numFmtId="0" fontId="19" fillId="0" borderId="23" xfId="0" applyFont="1" applyBorder="1" applyAlignment="1">
      <alignment horizontal="center" vertical="center" wrapText="1"/>
    </xf>
    <xf numFmtId="0" fontId="17" fillId="5" borderId="19" xfId="0" applyFont="1" applyFill="1" applyBorder="1" applyAlignment="1">
      <alignment horizontal="center" vertical="center"/>
    </xf>
    <xf numFmtId="0" fontId="17" fillId="5" borderId="21" xfId="0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 wrapText="1"/>
    </xf>
    <xf numFmtId="0" fontId="17" fillId="4" borderId="13" xfId="0" applyFont="1" applyFill="1" applyBorder="1" applyAlignment="1">
      <alignment horizontal="center" vertical="center" wrapText="1"/>
    </xf>
    <xf numFmtId="0" fontId="17" fillId="4" borderId="15" xfId="0" applyFont="1" applyFill="1" applyBorder="1" applyAlignment="1">
      <alignment horizontal="center" vertical="center" wrapText="1"/>
    </xf>
    <xf numFmtId="0" fontId="4" fillId="11" borderId="26" xfId="0" applyFont="1" applyFill="1" applyBorder="1" applyAlignment="1">
      <alignment horizontal="center" vertical="center" wrapText="1"/>
    </xf>
    <xf numFmtId="0" fontId="19" fillId="0" borderId="27" xfId="0" applyFont="1" applyBorder="1" applyAlignment="1">
      <alignment horizontal="center" vertical="center" wrapText="1"/>
    </xf>
    <xf numFmtId="0" fontId="4" fillId="13" borderId="19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4" fillId="14" borderId="21" xfId="0" applyFont="1" applyFill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3" fillId="8" borderId="23" xfId="0" applyFont="1" applyFill="1" applyBorder="1" applyAlignment="1" applyProtection="1">
      <alignment horizontal="center" vertical="center" wrapText="1"/>
      <protection locked="0"/>
    </xf>
    <xf numFmtId="0" fontId="13" fillId="8" borderId="16" xfId="0" applyFont="1" applyFill="1" applyBorder="1" applyAlignment="1" applyProtection="1">
      <alignment horizontal="center" vertical="center" wrapText="1"/>
      <protection locked="0"/>
    </xf>
    <xf numFmtId="0" fontId="13" fillId="8" borderId="24" xfId="0" applyFont="1" applyFill="1" applyBorder="1" applyAlignment="1" applyProtection="1">
      <alignment horizontal="center" vertical="center" wrapText="1"/>
      <protection locked="0"/>
    </xf>
    <xf numFmtId="164" fontId="13" fillId="8" borderId="20" xfId="0" applyNumberFormat="1" applyFont="1" applyFill="1" applyBorder="1" applyAlignment="1" applyProtection="1">
      <alignment horizontal="center" vertical="center" wrapText="1"/>
      <protection locked="0"/>
    </xf>
    <xf numFmtId="164" fontId="13" fillId="8" borderId="22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0" xfId="0" applyFont="1"/>
    <xf numFmtId="0" fontId="8" fillId="0" borderId="0" xfId="0" applyFont="1" applyAlignment="1">
      <alignment vertical="center"/>
    </xf>
    <xf numFmtId="0" fontId="17" fillId="4" borderId="10" xfId="0" applyFont="1" applyFill="1" applyBorder="1" applyAlignment="1">
      <alignment horizontal="center" vertical="center" wrapText="1"/>
    </xf>
    <xf numFmtId="0" fontId="17" fillId="4" borderId="4" xfId="0" applyFont="1" applyFill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12" borderId="18" xfId="0" applyFont="1" applyFill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 wrapText="1"/>
    </xf>
    <xf numFmtId="0" fontId="13" fillId="12" borderId="20" xfId="0" applyFont="1" applyFill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12" borderId="22" xfId="0" applyFont="1" applyFill="1" applyBorder="1" applyAlignment="1">
      <alignment horizontal="center" vertical="center" wrapText="1"/>
    </xf>
    <xf numFmtId="0" fontId="17" fillId="0" borderId="19" xfId="0" applyFont="1" applyBorder="1" applyAlignment="1">
      <alignment horizontal="center" vertical="center" wrapText="1"/>
    </xf>
    <xf numFmtId="164" fontId="20" fillId="6" borderId="20" xfId="0" applyNumberFormat="1" applyFont="1" applyFill="1" applyBorder="1" applyAlignment="1">
      <alignment horizontal="center" vertical="center"/>
    </xf>
    <xf numFmtId="10" fontId="20" fillId="6" borderId="20" xfId="0" applyNumberFormat="1" applyFont="1" applyFill="1" applyBorder="1" applyAlignment="1">
      <alignment horizontal="center" vertical="center"/>
    </xf>
    <xf numFmtId="0" fontId="17" fillId="4" borderId="2" xfId="0" applyFont="1" applyFill="1" applyBorder="1" applyAlignment="1">
      <alignment horizontal="center" vertical="center" wrapText="1"/>
    </xf>
    <xf numFmtId="0" fontId="17" fillId="0" borderId="21" xfId="0" applyFont="1" applyBorder="1" applyAlignment="1">
      <alignment horizontal="center" vertical="center" wrapText="1"/>
    </xf>
    <xf numFmtId="10" fontId="20" fillId="6" borderId="22" xfId="0" applyNumberFormat="1" applyFont="1" applyFill="1" applyBorder="1" applyAlignment="1">
      <alignment horizontal="center" vertical="center"/>
    </xf>
    <xf numFmtId="0" fontId="18" fillId="0" borderId="19" xfId="0" applyFont="1" applyBorder="1" applyAlignment="1">
      <alignment horizontal="center" vertical="center" wrapText="1"/>
    </xf>
    <xf numFmtId="0" fontId="15" fillId="0" borderId="0" xfId="0" applyFont="1"/>
    <xf numFmtId="0" fontId="18" fillId="0" borderId="2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13" fillId="0" borderId="2" xfId="0" applyFont="1" applyBorder="1" applyAlignment="1">
      <alignment vertical="center" wrapText="1"/>
    </xf>
    <xf numFmtId="0" fontId="18" fillId="6" borderId="10" xfId="0" applyFont="1" applyFill="1" applyBorder="1" applyAlignment="1">
      <alignment horizontal="center" vertical="center" wrapText="1"/>
    </xf>
    <xf numFmtId="0" fontId="9" fillId="0" borderId="1" xfId="0" applyFont="1" applyBorder="1"/>
    <xf numFmtId="0" fontId="13" fillId="0" borderId="5" xfId="0" applyFont="1" applyBorder="1" applyAlignment="1">
      <alignment vertical="center" wrapText="1"/>
    </xf>
    <xf numFmtId="0" fontId="18" fillId="6" borderId="11" xfId="0" applyFont="1" applyFill="1" applyBorder="1" applyAlignment="1">
      <alignment horizontal="center" vertical="center" wrapText="1"/>
    </xf>
    <xf numFmtId="0" fontId="13" fillId="0" borderId="7" xfId="0" applyFont="1" applyBorder="1" applyAlignment="1">
      <alignment vertical="center" wrapText="1"/>
    </xf>
    <xf numFmtId="0" fontId="18" fillId="6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26" fillId="9" borderId="17" xfId="0" applyFont="1" applyFill="1" applyBorder="1" applyAlignment="1">
      <alignment horizontal="center" vertical="center" wrapText="1"/>
    </xf>
    <xf numFmtId="0" fontId="26" fillId="9" borderId="18" xfId="0" applyFont="1" applyFill="1" applyBorder="1" applyAlignment="1">
      <alignment horizontal="center" vertical="center" wrapText="1"/>
    </xf>
    <xf numFmtId="0" fontId="29" fillId="0" borderId="0" xfId="0" applyFont="1"/>
    <xf numFmtId="0" fontId="29" fillId="0" borderId="0" xfId="0" applyFont="1" applyAlignment="1">
      <alignment horizontal="center"/>
    </xf>
    <xf numFmtId="0" fontId="31" fillId="0" borderId="0" xfId="0" applyFont="1" applyAlignment="1">
      <alignment vertical="center" wrapText="1"/>
    </xf>
    <xf numFmtId="0" fontId="31" fillId="0" borderId="0" xfId="0" applyFont="1" applyAlignment="1">
      <alignment horizontal="center" vertical="center" wrapText="1"/>
    </xf>
    <xf numFmtId="164" fontId="31" fillId="0" borderId="0" xfId="0" applyNumberFormat="1" applyFont="1" applyAlignment="1">
      <alignment horizontal="center" vertical="center" wrapText="1"/>
    </xf>
    <xf numFmtId="165" fontId="33" fillId="0" borderId="0" xfId="0" applyNumberFormat="1" applyFont="1" applyAlignment="1">
      <alignment vertical="center"/>
    </xf>
    <xf numFmtId="165" fontId="0" fillId="0" borderId="0" xfId="0" applyNumberFormat="1"/>
    <xf numFmtId="10" fontId="0" fillId="0" borderId="0" xfId="1" applyNumberFormat="1" applyFont="1"/>
    <xf numFmtId="0" fontId="21" fillId="11" borderId="2" xfId="0" applyFont="1" applyFill="1" applyBorder="1" applyAlignment="1">
      <alignment horizontal="center" vertical="center" wrapText="1"/>
    </xf>
    <xf numFmtId="0" fontId="21" fillId="11" borderId="3" xfId="0" applyFont="1" applyFill="1" applyBorder="1" applyAlignment="1">
      <alignment horizontal="center" vertical="center" wrapText="1"/>
    </xf>
    <xf numFmtId="0" fontId="21" fillId="11" borderId="4" xfId="0" applyFont="1" applyFill="1" applyBorder="1" applyAlignment="1">
      <alignment horizontal="center" vertical="center" wrapText="1"/>
    </xf>
    <xf numFmtId="0" fontId="21" fillId="11" borderId="7" xfId="0" applyFont="1" applyFill="1" applyBorder="1" applyAlignment="1">
      <alignment horizontal="center" vertical="center" wrapText="1"/>
    </xf>
    <xf numFmtId="0" fontId="21" fillId="11" borderId="8" xfId="0" applyFont="1" applyFill="1" applyBorder="1" applyAlignment="1">
      <alignment horizontal="center" vertical="center" wrapText="1"/>
    </xf>
    <xf numFmtId="0" fontId="21" fillId="11" borderId="9" xfId="0" applyFont="1" applyFill="1" applyBorder="1" applyAlignment="1">
      <alignment horizontal="center" vertical="center" wrapText="1"/>
    </xf>
    <xf numFmtId="0" fontId="25" fillId="9" borderId="2" xfId="0" applyFont="1" applyFill="1" applyBorder="1" applyAlignment="1">
      <alignment horizontal="center" vertical="center"/>
    </xf>
    <xf numFmtId="0" fontId="25" fillId="9" borderId="3" xfId="0" applyFont="1" applyFill="1" applyBorder="1" applyAlignment="1">
      <alignment horizontal="center" vertical="center"/>
    </xf>
    <xf numFmtId="0" fontId="25" fillId="9" borderId="4" xfId="0" applyFont="1" applyFill="1" applyBorder="1" applyAlignment="1">
      <alignment horizontal="center" vertical="center"/>
    </xf>
    <xf numFmtId="0" fontId="16" fillId="3" borderId="7" xfId="0" applyFont="1" applyFill="1" applyBorder="1" applyAlignment="1">
      <alignment horizontal="center" vertical="center" wrapText="1"/>
    </xf>
    <xf numFmtId="0" fontId="16" fillId="3" borderId="8" xfId="0" applyFont="1" applyFill="1" applyBorder="1" applyAlignment="1">
      <alignment horizontal="center" vertical="center" wrapText="1"/>
    </xf>
    <xf numFmtId="0" fontId="16" fillId="3" borderId="9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/>
    </xf>
    <xf numFmtId="0" fontId="23" fillId="9" borderId="2" xfId="0" applyFont="1" applyFill="1" applyBorder="1" applyAlignment="1">
      <alignment horizontal="center" vertical="center" wrapText="1"/>
    </xf>
    <xf numFmtId="0" fontId="23" fillId="9" borderId="3" xfId="0" applyFont="1" applyFill="1" applyBorder="1" applyAlignment="1">
      <alignment horizontal="center" vertical="center" wrapText="1"/>
    </xf>
    <xf numFmtId="0" fontId="23" fillId="9" borderId="4" xfId="0" applyFont="1" applyFill="1" applyBorder="1" applyAlignment="1">
      <alignment horizontal="center" vertical="center" wrapText="1"/>
    </xf>
    <xf numFmtId="0" fontId="23" fillId="9" borderId="7" xfId="0" applyFont="1" applyFill="1" applyBorder="1" applyAlignment="1">
      <alignment horizontal="center" vertical="center" wrapText="1"/>
    </xf>
    <xf numFmtId="0" fontId="23" fillId="9" borderId="8" xfId="0" applyFont="1" applyFill="1" applyBorder="1" applyAlignment="1">
      <alignment horizontal="center" vertical="center" wrapText="1"/>
    </xf>
    <xf numFmtId="0" fontId="23" fillId="9" borderId="9" xfId="0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4" xfId="0" applyFont="1" applyFill="1" applyBorder="1" applyAlignment="1">
      <alignment horizontal="center" vertical="center"/>
    </xf>
    <xf numFmtId="0" fontId="24" fillId="10" borderId="5" xfId="0" applyFont="1" applyFill="1" applyBorder="1" applyAlignment="1">
      <alignment horizontal="center" vertical="center" wrapText="1"/>
    </xf>
    <xf numFmtId="0" fontId="24" fillId="10" borderId="1" xfId="0" applyFont="1" applyFill="1" applyBorder="1" applyAlignment="1">
      <alignment horizontal="center" vertical="center" wrapText="1"/>
    </xf>
    <xf numFmtId="0" fontId="24" fillId="10" borderId="6" xfId="0" applyFont="1" applyFill="1" applyBorder="1" applyAlignment="1">
      <alignment horizontal="center" vertical="center" wrapText="1"/>
    </xf>
    <xf numFmtId="0" fontId="24" fillId="10" borderId="7" xfId="0" applyFont="1" applyFill="1" applyBorder="1" applyAlignment="1">
      <alignment horizontal="center" vertical="center" wrapText="1"/>
    </xf>
    <xf numFmtId="0" fontId="24" fillId="10" borderId="8" xfId="0" applyFont="1" applyFill="1" applyBorder="1" applyAlignment="1">
      <alignment horizontal="center" vertical="center" wrapText="1"/>
    </xf>
    <xf numFmtId="0" fontId="24" fillId="10" borderId="9" xfId="0" applyFont="1" applyFill="1" applyBorder="1" applyAlignment="1">
      <alignment horizontal="center" vertical="center" wrapText="1"/>
    </xf>
    <xf numFmtId="0" fontId="22" fillId="9" borderId="2" xfId="0" applyFont="1" applyFill="1" applyBorder="1" applyAlignment="1">
      <alignment horizontal="center" vertical="center"/>
    </xf>
    <xf numFmtId="0" fontId="22" fillId="9" borderId="3" xfId="0" applyFont="1" applyFill="1" applyBorder="1" applyAlignment="1">
      <alignment horizontal="center" vertical="center"/>
    </xf>
    <xf numFmtId="0" fontId="22" fillId="9" borderId="4" xfId="0" applyFont="1" applyFill="1" applyBorder="1" applyAlignment="1">
      <alignment horizontal="center" vertical="center"/>
    </xf>
    <xf numFmtId="0" fontId="34" fillId="12" borderId="5" xfId="0" applyFont="1" applyFill="1" applyBorder="1" applyAlignment="1">
      <alignment horizontal="center" vertical="center" wrapText="1"/>
    </xf>
    <xf numFmtId="0" fontId="34" fillId="12" borderId="1" xfId="0" applyFont="1" applyFill="1" applyBorder="1" applyAlignment="1">
      <alignment horizontal="center" vertical="center" wrapText="1"/>
    </xf>
    <xf numFmtId="0" fontId="34" fillId="12" borderId="6" xfId="0" applyFont="1" applyFill="1" applyBorder="1" applyAlignment="1">
      <alignment horizontal="center" vertical="center" wrapText="1"/>
    </xf>
    <xf numFmtId="0" fontId="34" fillId="12" borderId="7" xfId="0" applyFont="1" applyFill="1" applyBorder="1" applyAlignment="1">
      <alignment horizontal="center" vertical="center" wrapText="1"/>
    </xf>
    <xf numFmtId="0" fontId="34" fillId="12" borderId="8" xfId="0" applyFont="1" applyFill="1" applyBorder="1" applyAlignment="1">
      <alignment horizontal="center" vertical="center" wrapText="1"/>
    </xf>
    <xf numFmtId="0" fontId="34" fillId="12" borderId="9" xfId="0" applyFont="1" applyFill="1" applyBorder="1" applyAlignment="1">
      <alignment horizontal="center" vertical="center" wrapText="1"/>
    </xf>
    <xf numFmtId="0" fontId="4" fillId="9" borderId="13" xfId="0" applyFont="1" applyFill="1" applyBorder="1" applyAlignment="1">
      <alignment horizontal="center" vertical="center"/>
    </xf>
    <xf numFmtId="0" fontId="4" fillId="9" borderId="14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9" borderId="15" xfId="0" applyFont="1" applyFill="1" applyBorder="1" applyAlignment="1">
      <alignment horizontal="center" vertical="center"/>
    </xf>
    <xf numFmtId="0" fontId="19" fillId="0" borderId="23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19" fillId="0" borderId="16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/>
    </xf>
    <xf numFmtId="0" fontId="19" fillId="0" borderId="20" xfId="0" applyFont="1" applyBorder="1" applyAlignment="1">
      <alignment horizontal="center"/>
    </xf>
    <xf numFmtId="0" fontId="19" fillId="0" borderId="24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/>
    </xf>
    <xf numFmtId="0" fontId="19" fillId="0" borderId="22" xfId="0" applyFont="1" applyBorder="1" applyAlignment="1">
      <alignment horizont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23" fillId="11" borderId="0" xfId="0" applyFont="1" applyFill="1" applyAlignment="1">
      <alignment horizontal="center" vertical="center" wrapText="1"/>
    </xf>
    <xf numFmtId="0" fontId="19" fillId="0" borderId="16" xfId="0" applyFont="1" applyBorder="1" applyAlignment="1">
      <alignment vertical="center" wrapText="1"/>
    </xf>
    <xf numFmtId="0" fontId="19" fillId="0" borderId="24" xfId="0" applyFont="1" applyBorder="1" applyAlignment="1">
      <alignment vertical="center" wrapText="1"/>
    </xf>
    <xf numFmtId="0" fontId="19" fillId="7" borderId="2" xfId="0" applyFont="1" applyFill="1" applyBorder="1" applyAlignment="1">
      <alignment horizontal="center" vertical="center" wrapText="1"/>
    </xf>
    <xf numFmtId="0" fontId="19" fillId="7" borderId="3" xfId="0" applyFont="1" applyFill="1" applyBorder="1" applyAlignment="1">
      <alignment horizontal="center" vertical="center" wrapText="1"/>
    </xf>
    <xf numFmtId="0" fontId="19" fillId="7" borderId="4" xfId="0" applyFont="1" applyFill="1" applyBorder="1" applyAlignment="1">
      <alignment horizontal="center" vertical="center" wrapText="1"/>
    </xf>
    <xf numFmtId="0" fontId="19" fillId="7" borderId="5" xfId="0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horizontal="center" vertical="center" wrapText="1"/>
    </xf>
    <xf numFmtId="0" fontId="19" fillId="7" borderId="6" xfId="0" applyFont="1" applyFill="1" applyBorder="1" applyAlignment="1">
      <alignment horizontal="center" vertical="center" wrapText="1"/>
    </xf>
    <xf numFmtId="0" fontId="19" fillId="7" borderId="7" xfId="0" applyFont="1" applyFill="1" applyBorder="1" applyAlignment="1">
      <alignment horizontal="center" vertical="center" wrapText="1"/>
    </xf>
    <xf numFmtId="0" fontId="19" fillId="7" borderId="8" xfId="0" applyFont="1" applyFill="1" applyBorder="1" applyAlignment="1">
      <alignment horizontal="center" vertical="center" wrapText="1"/>
    </xf>
    <xf numFmtId="0" fontId="19" fillId="7" borderId="9" xfId="0" applyFont="1" applyFill="1" applyBorder="1" applyAlignment="1">
      <alignment horizontal="center" vertical="center" wrapText="1"/>
    </xf>
    <xf numFmtId="0" fontId="28" fillId="2" borderId="0" xfId="0" applyFont="1" applyFill="1" applyAlignment="1">
      <alignment horizontal="center" vertical="center"/>
    </xf>
    <xf numFmtId="0" fontId="32" fillId="3" borderId="0" xfId="0" applyFont="1" applyFill="1" applyAlignment="1">
      <alignment vertical="center" wrapText="1"/>
    </xf>
    <xf numFmtId="0" fontId="10" fillId="0" borderId="1" xfId="0" applyFont="1" applyBorder="1" applyAlignment="1">
      <alignment horizontal="center" vertical="center"/>
    </xf>
    <xf numFmtId="0" fontId="19" fillId="0" borderId="16" xfId="0" applyFont="1" applyBorder="1" applyAlignment="1"/>
    <xf numFmtId="0" fontId="19" fillId="0" borderId="20" xfId="0" applyFont="1" applyBorder="1" applyAlignment="1"/>
    <xf numFmtId="0" fontId="19" fillId="0" borderId="24" xfId="0" applyFont="1" applyBorder="1" applyAlignment="1"/>
    <xf numFmtId="0" fontId="19" fillId="0" borderId="22" xfId="0" applyFont="1" applyBorder="1" applyAlignment="1"/>
    <xf numFmtId="0" fontId="30" fillId="4" borderId="1" xfId="0" applyFont="1" applyFill="1" applyBorder="1" applyAlignment="1">
      <alignment horizontal="center" vertical="center" wrapText="1"/>
    </xf>
    <xf numFmtId="0" fontId="31" fillId="0" borderId="1" xfId="0" applyFont="1" applyBorder="1" applyAlignment="1">
      <alignment vertical="center" wrapText="1"/>
    </xf>
    <xf numFmtId="0" fontId="31" fillId="0" borderId="1" xfId="0" applyFont="1" applyBorder="1" applyAlignment="1">
      <alignment horizontal="center" vertical="center" wrapText="1"/>
    </xf>
    <xf numFmtId="164" fontId="31" fillId="0" borderId="1" xfId="0" applyNumberFormat="1" applyFont="1" applyBorder="1" applyAlignment="1">
      <alignment horizontal="center" vertical="center" wrapText="1"/>
    </xf>
    <xf numFmtId="164" fontId="31" fillId="0" borderId="1" xfId="0" applyNumberFormat="1" applyFont="1" applyBorder="1" applyAlignment="1">
      <alignment vertical="center" wrapText="1"/>
    </xf>
  </cellXfs>
  <cellStyles count="2">
    <cellStyle name="Normal" xfId="0" builtinId="0"/>
    <cellStyle name="Porcentagem" xfId="1" builtinId="5"/>
  </cellStyles>
  <dxfs count="4">
    <dxf>
      <font>
        <b/>
        <sz val="15"/>
        <color rgb="FF9C5700"/>
      </font>
      <fill>
        <patternFill patternType="solid">
          <bgColor rgb="FFFCE4D6"/>
        </patternFill>
      </fill>
    </dxf>
    <dxf>
      <font>
        <b/>
        <sz val="18"/>
        <color rgb="FF9C0006"/>
      </font>
      <fill>
        <patternFill patternType="solid">
          <bgColor rgb="FFF4CCCC"/>
        </patternFill>
      </fill>
    </dxf>
    <dxf>
      <font>
        <b/>
        <sz val="18"/>
        <color rgb="FF7F6000"/>
      </font>
      <fill>
        <patternFill patternType="solid">
          <bgColor rgb="FFFFF2CC"/>
        </patternFill>
      </fill>
    </dxf>
    <dxf>
      <font>
        <b/>
        <sz val="18"/>
        <color rgb="FF375623"/>
      </font>
      <fill>
        <patternFill patternType="solid">
          <bgColor rgb="FFE2F0D9"/>
        </patternFill>
      </fill>
    </dxf>
  </dxfs>
  <tableStyles count="0" defaultTableStyle="TableStyleMedium2" defaultPivotStyle="PivotStyleLight16"/>
  <colors>
    <mruColors>
      <color rgb="FFD1F7FF"/>
      <color rgb="FF003641"/>
      <color rgb="FF49479D"/>
      <color rgb="FF00A091"/>
      <color rgb="FF7DB61C"/>
      <color rgb="FFFBFFA7"/>
      <color rgb="FFC9D2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</xdr:col>
      <xdr:colOff>11207</xdr:colOff>
      <xdr:row>1</xdr:row>
      <xdr:rowOff>60511</xdr:rowOff>
    </xdr:to>
    <xdr:pic>
      <xdr:nvPicPr>
        <xdr:cNvPr id="2" name="Imagem 1" descr="Uma imagem contendo desenho&#10;&#10;Descrição gerada automaticamente">
          <a:extLst>
            <a:ext uri="{FF2B5EF4-FFF2-40B4-BE49-F238E27FC236}">
              <a16:creationId xmlns:a16="http://schemas.microsoft.com/office/drawing/2014/main" id="{7410B436-7353-5EEB-CDDD-B49FA80896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1692088" cy="6768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2"/>
  <sheetViews>
    <sheetView showGridLines="0" tabSelected="1" topLeftCell="A13" zoomScaleNormal="100" workbookViewId="0">
      <selection activeCell="D6" sqref="D6"/>
    </sheetView>
  </sheetViews>
  <sheetFormatPr defaultRowHeight="13.5"/>
  <cols>
    <col min="1" max="1" width="22" style="29" customWidth="1"/>
    <col min="2" max="2" width="34" style="29" customWidth="1"/>
    <col min="3" max="3" width="40" style="29" customWidth="1"/>
    <col min="4" max="4" width="22.875" style="29" customWidth="1"/>
    <col min="5" max="5" width="3" style="29" customWidth="1"/>
    <col min="6" max="6" width="29" style="29" customWidth="1"/>
    <col min="7" max="7" width="26.5" style="29" customWidth="1"/>
    <col min="8" max="8" width="23" style="29" customWidth="1"/>
    <col min="9" max="16384" width="9" style="29"/>
  </cols>
  <sheetData>
    <row r="1" spans="1:8" ht="48.75" customHeight="1">
      <c r="A1" s="74" t="s">
        <v>0</v>
      </c>
      <c r="B1" s="75"/>
      <c r="C1" s="75"/>
      <c r="D1" s="75"/>
      <c r="E1" s="75"/>
      <c r="F1" s="75"/>
      <c r="G1" s="75"/>
      <c r="H1" s="76"/>
    </row>
    <row r="2" spans="1:8" ht="39.950000000000003" customHeight="1" thickBot="1">
      <c r="A2" s="77" t="s">
        <v>1</v>
      </c>
      <c r="B2" s="78"/>
      <c r="C2" s="78"/>
      <c r="D2" s="78"/>
      <c r="E2" s="78"/>
      <c r="F2" s="78"/>
      <c r="G2" s="78"/>
      <c r="H2" s="79"/>
    </row>
    <row r="3" spans="1:8" ht="14.25" thickBot="1"/>
    <row r="4" spans="1:8" ht="21.75" customHeight="1" thickBot="1">
      <c r="A4" s="89" t="s">
        <v>2</v>
      </c>
      <c r="B4" s="90"/>
      <c r="C4" s="91"/>
      <c r="D4" s="30"/>
      <c r="F4" s="89" t="s">
        <v>3</v>
      </c>
      <c r="G4" s="90"/>
      <c r="H4" s="91"/>
    </row>
    <row r="5" spans="1:8" ht="15.75" thickBot="1">
      <c r="A5" s="31" t="s">
        <v>4</v>
      </c>
      <c r="B5" s="31" t="s">
        <v>5</v>
      </c>
      <c r="C5" s="32" t="s">
        <v>6</v>
      </c>
      <c r="F5" s="92" t="str">
        <f>'Cálculos - não editar'!B27</f>
        <v>PREENCHER RENDAS</v>
      </c>
      <c r="G5" s="93"/>
      <c r="H5" s="94"/>
    </row>
    <row r="6" spans="1:8" ht="27.75" thickBot="1">
      <c r="A6" s="33" t="s">
        <v>7</v>
      </c>
      <c r="B6" s="24"/>
      <c r="C6" s="34" t="s">
        <v>8</v>
      </c>
      <c r="F6" s="95"/>
      <c r="G6" s="96"/>
      <c r="H6" s="97"/>
    </row>
    <row r="7" spans="1:8" ht="38.1" customHeight="1" thickBot="1">
      <c r="A7" s="35" t="s">
        <v>9</v>
      </c>
      <c r="B7" s="25"/>
      <c r="C7" s="36" t="s">
        <v>10</v>
      </c>
    </row>
    <row r="8" spans="1:8" ht="38.1" customHeight="1">
      <c r="A8" s="35" t="s">
        <v>11</v>
      </c>
      <c r="B8" s="25"/>
      <c r="C8" s="36" t="s">
        <v>12</v>
      </c>
      <c r="F8" s="58" t="s">
        <v>13</v>
      </c>
      <c r="G8" s="59" t="s">
        <v>14</v>
      </c>
    </row>
    <row r="9" spans="1:8" ht="38.1" customHeight="1" thickBot="1">
      <c r="A9" s="37" t="s">
        <v>15</v>
      </c>
      <c r="B9" s="26"/>
      <c r="C9" s="38" t="s">
        <v>16</v>
      </c>
      <c r="F9" s="39" t="s">
        <v>17</v>
      </c>
      <c r="G9" s="40">
        <f>'Cálculos - não editar'!B17</f>
        <v>0</v>
      </c>
    </row>
    <row r="10" spans="1:8" ht="33.75" customHeight="1" thickBot="1">
      <c r="F10" s="39" t="s">
        <v>18</v>
      </c>
      <c r="G10" s="40">
        <f>'Cálculos - não editar'!B20</f>
        <v>0</v>
      </c>
    </row>
    <row r="11" spans="1:8" ht="33.75" customHeight="1" thickBot="1">
      <c r="A11" s="80" t="s">
        <v>19</v>
      </c>
      <c r="B11" s="81"/>
      <c r="C11" s="81"/>
      <c r="D11" s="82"/>
      <c r="F11" s="39" t="s">
        <v>20</v>
      </c>
      <c r="G11" s="41">
        <f>'Cálculos - não editar'!B22</f>
        <v>0</v>
      </c>
    </row>
    <row r="12" spans="1:8" ht="33.75" customHeight="1" thickBot="1">
      <c r="A12" s="42" t="s">
        <v>21</v>
      </c>
      <c r="B12" s="31" t="s">
        <v>22</v>
      </c>
      <c r="C12" s="31" t="s">
        <v>23</v>
      </c>
      <c r="D12" s="32" t="s">
        <v>24</v>
      </c>
      <c r="F12" s="43" t="s">
        <v>25</v>
      </c>
      <c r="G12" s="44">
        <f>'Cálculos - não editar'!B23</f>
        <v>0</v>
      </c>
    </row>
    <row r="13" spans="1:8" ht="33.75" customHeight="1">
      <c r="A13" s="45">
        <v>1</v>
      </c>
      <c r="B13" s="25"/>
      <c r="C13" s="25"/>
      <c r="D13" s="27">
        <v>200000</v>
      </c>
      <c r="F13" s="56"/>
      <c r="G13" s="137"/>
    </row>
    <row r="14" spans="1:8" ht="33.75" customHeight="1" thickBot="1">
      <c r="A14" s="45">
        <v>2</v>
      </c>
      <c r="B14" s="25"/>
      <c r="C14" s="25"/>
      <c r="D14" s="27">
        <v>100000</v>
      </c>
    </row>
    <row r="15" spans="1:8" ht="33.75" customHeight="1">
      <c r="A15" s="45">
        <v>3</v>
      </c>
      <c r="B15" s="25"/>
      <c r="C15" s="25"/>
      <c r="D15" s="27"/>
      <c r="F15" s="98" t="s">
        <v>26</v>
      </c>
      <c r="G15" s="99"/>
      <c r="H15" s="100"/>
    </row>
    <row r="16" spans="1:8" ht="33.75" customHeight="1">
      <c r="A16" s="45">
        <v>4</v>
      </c>
      <c r="B16" s="25"/>
      <c r="C16" s="25"/>
      <c r="D16" s="27"/>
      <c r="F16" s="101" t="str">
        <f>'Cálculos - não editar'!B28</f>
        <v>Informe pelo menos uma renda anual para realizar a classificação.</v>
      </c>
      <c r="G16" s="102"/>
      <c r="H16" s="103"/>
    </row>
    <row r="17" spans="1:10" ht="33.75" customHeight="1">
      <c r="A17" s="45">
        <v>5</v>
      </c>
      <c r="B17" s="25"/>
      <c r="C17" s="25"/>
      <c r="D17" s="27"/>
      <c r="F17" s="101"/>
      <c r="G17" s="102"/>
      <c r="H17" s="103"/>
      <c r="J17" s="46"/>
    </row>
    <row r="18" spans="1:10" ht="33.75" customHeight="1">
      <c r="A18" s="45">
        <v>6</v>
      </c>
      <c r="B18" s="25"/>
      <c r="C18" s="25"/>
      <c r="D18" s="27"/>
      <c r="F18" s="101"/>
      <c r="G18" s="102"/>
      <c r="H18" s="103"/>
    </row>
    <row r="19" spans="1:10" ht="33.75" customHeight="1">
      <c r="A19" s="45">
        <v>7</v>
      </c>
      <c r="B19" s="25"/>
      <c r="C19" s="25"/>
      <c r="D19" s="27"/>
      <c r="F19" s="101"/>
      <c r="G19" s="102"/>
      <c r="H19" s="103"/>
    </row>
    <row r="20" spans="1:10" ht="33.75" customHeight="1">
      <c r="A20" s="45">
        <v>8</v>
      </c>
      <c r="B20" s="25"/>
      <c r="C20" s="25"/>
      <c r="D20" s="27"/>
      <c r="F20" s="101"/>
      <c r="G20" s="102"/>
      <c r="H20" s="103"/>
    </row>
    <row r="21" spans="1:10" ht="33.75" customHeight="1">
      <c r="A21" s="45">
        <v>9</v>
      </c>
      <c r="B21" s="25"/>
      <c r="C21" s="25"/>
      <c r="D21" s="27"/>
      <c r="F21" s="101"/>
      <c r="G21" s="102"/>
      <c r="H21" s="103"/>
    </row>
    <row r="22" spans="1:10" ht="33.75" customHeight="1">
      <c r="A22" s="45">
        <v>10</v>
      </c>
      <c r="B22" s="25"/>
      <c r="C22" s="25"/>
      <c r="D22" s="27"/>
      <c r="F22" s="101"/>
      <c r="G22" s="102"/>
      <c r="H22" s="103"/>
    </row>
    <row r="23" spans="1:10" ht="33.75" customHeight="1" thickBot="1">
      <c r="A23" s="45">
        <v>11</v>
      </c>
      <c r="B23" s="25"/>
      <c r="C23" s="25"/>
      <c r="D23" s="27"/>
      <c r="F23" s="104"/>
      <c r="G23" s="105"/>
      <c r="H23" s="106"/>
    </row>
    <row r="24" spans="1:10" ht="33.75" customHeight="1" thickBot="1">
      <c r="A24" s="47">
        <v>12</v>
      </c>
      <c r="B24" s="26"/>
      <c r="C24" s="26"/>
      <c r="D24" s="28"/>
    </row>
    <row r="25" spans="1:10" ht="24" customHeight="1" thickBot="1">
      <c r="F25" s="107" t="s">
        <v>27</v>
      </c>
      <c r="G25" s="108"/>
      <c r="H25" s="48"/>
    </row>
    <row r="26" spans="1:10" ht="33" customHeight="1">
      <c r="A26" s="83" t="s">
        <v>28</v>
      </c>
      <c r="B26" s="84"/>
      <c r="C26" s="84"/>
      <c r="D26" s="85"/>
      <c r="F26" s="49" t="s">
        <v>29</v>
      </c>
      <c r="G26" s="50" t="str">
        <f>'Cálculos - não editar'!B30</f>
        <v>NÃO INFORMADO / NÃO ENQUADRADO</v>
      </c>
      <c r="H26" s="51"/>
    </row>
    <row r="27" spans="1:10" ht="33" customHeight="1" thickBot="1">
      <c r="A27" s="86"/>
      <c r="B27" s="87"/>
      <c r="C27" s="87"/>
      <c r="D27" s="88"/>
      <c r="F27" s="52" t="s">
        <v>30</v>
      </c>
      <c r="G27" s="53" t="str">
        <f>'Cálculos - não editar'!B25</f>
        <v>NÃO APLICÁVEL</v>
      </c>
      <c r="H27" s="51"/>
    </row>
    <row r="28" spans="1:10" ht="33" customHeight="1">
      <c r="F28" s="52" t="s">
        <v>31</v>
      </c>
      <c r="G28" s="53" t="str">
        <f>'Cálculos - não editar'!B26</f>
        <v>NÃO APLICÁVEL</v>
      </c>
      <c r="H28" s="51"/>
    </row>
    <row r="29" spans="1:10" ht="33" customHeight="1" thickBot="1">
      <c r="F29" s="54" t="s">
        <v>32</v>
      </c>
      <c r="G29" s="55" t="str">
        <f>'Cálculos - não editar'!B29</f>
        <v>-</v>
      </c>
      <c r="H29" s="51"/>
    </row>
    <row r="30" spans="1:10" ht="14.25" thickBot="1">
      <c r="F30" s="56"/>
      <c r="G30" s="57"/>
      <c r="H30" s="51"/>
    </row>
    <row r="31" spans="1:10">
      <c r="A31" s="68" t="s">
        <v>33</v>
      </c>
      <c r="B31" s="69"/>
      <c r="C31" s="69"/>
      <c r="D31" s="69"/>
      <c r="E31" s="69"/>
      <c r="F31" s="69"/>
      <c r="G31" s="69"/>
      <c r="H31" s="70"/>
    </row>
    <row r="32" spans="1:10" ht="14.25" thickBot="1">
      <c r="A32" s="71"/>
      <c r="B32" s="72"/>
      <c r="C32" s="72"/>
      <c r="D32" s="72"/>
      <c r="E32" s="72"/>
      <c r="F32" s="72"/>
      <c r="G32" s="72"/>
      <c r="H32" s="73"/>
    </row>
  </sheetData>
  <sheetProtection algorithmName="SHA-512" hashValue="MhHXZYDZtqdYpKFoAo9iYl5jRvhfThAfwVGg6ntibO83xO83zmVLuDQcdkSu1VILcGD3xq2CUkzJD8mgoMQw4Q==" saltValue="r9elQ7jq177QzRZvHrjAgw==" spinCount="100000" sheet="1" objects="1" scenarios="1" insertRows="0"/>
  <mergeCells count="11">
    <mergeCell ref="A31:H32"/>
    <mergeCell ref="A1:H1"/>
    <mergeCell ref="A2:H2"/>
    <mergeCell ref="A11:D11"/>
    <mergeCell ref="A26:D27"/>
    <mergeCell ref="F4:H4"/>
    <mergeCell ref="F5:H6"/>
    <mergeCell ref="F15:H15"/>
    <mergeCell ref="F16:H23"/>
    <mergeCell ref="A4:C4"/>
    <mergeCell ref="F25:G25"/>
  </mergeCells>
  <conditionalFormatting sqref="F5">
    <cfRule type="expression" dxfId="3" priority="1">
      <formula>F5="PEQUENO PRODUTOR"</formula>
    </cfRule>
    <cfRule type="expression" dxfId="2" priority="2">
      <formula>F5="MÉDIO PRODUTOR"</formula>
    </cfRule>
    <cfRule type="expression" dxfId="1" priority="3">
      <formula>F5="GRANDE PRODUTOR"</formula>
    </cfRule>
    <cfRule type="expression" dxfId="0" priority="4">
      <formula>F5="INFORMAR CONDIÇÃO DA TERRA"</formula>
    </cfRule>
  </conditionalFormatting>
  <dataValidations count="2">
    <dataValidation type="list" sqref="B6 B9" xr:uid="{00000000-0002-0000-0000-000000000000}">
      <formula1>"SIM,NÃO"</formula1>
    </dataValidation>
    <dataValidation type="list" sqref="B7" xr:uid="{00000000-0002-0000-0000-000001000000}">
      <formula1>"SELECIONAR,PROPRIETÁRIO RURAL,POSSEIRO,ARRENDATÁRIO,PARCEIRO,OUTRA CONDIÇÃO / NÃO SE APLICA"</formula1>
    </dataValidation>
  </dataValidations>
  <pageMargins left="0.25" right="0.25" top="0.75" bottom="0.75" header="0.3" footer="0.3"/>
  <pageSetup paperSize="9" scale="50" orientation="landscape" r:id="rId1"/>
  <headerFooter>
    <oddHeader>&amp;L&amp;"Aptos"&amp;10&amp;K000000 PÚBLICO&amp;1#_x000D_</oddHeader>
    <oddFooter>&amp;L_x000D_&amp;1#&amp;"Aptos"&amp;10&amp;K000000 PÚBLICO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000-000003000000}">
          <x14:formula1>
            <xm:f>'Cálculos - não editar'!$A$3:$A$15</xm:f>
          </x14:formula1>
          <xm:sqref>B13 B15:B24 B14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1"/>
  <sheetViews>
    <sheetView showGridLines="0" topLeftCell="A13" workbookViewId="0">
      <selection sqref="A1:E31"/>
    </sheetView>
  </sheetViews>
  <sheetFormatPr defaultRowHeight="15"/>
  <cols>
    <col min="1" max="1" width="31.875" style="1" customWidth="1"/>
    <col min="2" max="2" width="40.875" style="1" customWidth="1"/>
    <col min="3" max="3" width="42" style="1" customWidth="1"/>
    <col min="4" max="4" width="48" style="1" customWidth="1"/>
    <col min="5" max="5" width="40" style="1" customWidth="1"/>
    <col min="6" max="16384" width="9" style="1"/>
  </cols>
  <sheetData>
    <row r="1" spans="1:5" ht="21">
      <c r="A1" s="109" t="s">
        <v>34</v>
      </c>
      <c r="B1" s="109"/>
      <c r="C1" s="109"/>
      <c r="D1" s="109"/>
      <c r="E1" s="109"/>
    </row>
    <row r="2" spans="1:5">
      <c r="A2" s="110" t="s">
        <v>35</v>
      </c>
      <c r="B2" s="110"/>
      <c r="C2" s="110"/>
      <c r="D2" s="110"/>
      <c r="E2" s="110"/>
    </row>
    <row r="3" spans="1:5" ht="15.75" thickBot="1"/>
    <row r="4" spans="1:5" ht="22.5" customHeight="1" thickBot="1">
      <c r="A4" s="16" t="s">
        <v>36</v>
      </c>
      <c r="B4" s="17" t="s">
        <v>37</v>
      </c>
      <c r="C4" s="17" t="s">
        <v>38</v>
      </c>
      <c r="D4" s="17" t="s">
        <v>39</v>
      </c>
      <c r="E4" s="3" t="s">
        <v>40</v>
      </c>
    </row>
    <row r="5" spans="1:5" ht="75" customHeight="1">
      <c r="A5" s="18" t="s">
        <v>41</v>
      </c>
      <c r="B5" s="15" t="s">
        <v>42</v>
      </c>
      <c r="C5" s="15" t="s">
        <v>43</v>
      </c>
      <c r="D5" s="15" t="s">
        <v>44</v>
      </c>
      <c r="E5" s="19" t="s">
        <v>45</v>
      </c>
    </row>
    <row r="6" spans="1:5" ht="75" customHeight="1">
      <c r="A6" s="20" t="s">
        <v>46</v>
      </c>
      <c r="B6" s="9" t="s">
        <v>47</v>
      </c>
      <c r="C6" s="9" t="s">
        <v>48</v>
      </c>
      <c r="D6" s="9" t="s">
        <v>49</v>
      </c>
      <c r="E6" s="21" t="s">
        <v>50</v>
      </c>
    </row>
    <row r="7" spans="1:5" ht="75" customHeight="1" thickBot="1">
      <c r="A7" s="22" t="s">
        <v>51</v>
      </c>
      <c r="B7" s="10" t="s">
        <v>52</v>
      </c>
      <c r="C7" s="10" t="s">
        <v>53</v>
      </c>
      <c r="D7" s="10" t="s">
        <v>54</v>
      </c>
      <c r="E7" s="23" t="s">
        <v>55</v>
      </c>
    </row>
    <row r="8" spans="1:5" ht="15.75" thickBot="1"/>
    <row r="9" spans="1:5" ht="15.75" thickBot="1">
      <c r="A9" s="107" t="s">
        <v>56</v>
      </c>
      <c r="B9" s="111"/>
      <c r="C9" s="111"/>
      <c r="D9" s="111"/>
      <c r="E9" s="108"/>
    </row>
    <row r="10" spans="1:5" ht="24.75" customHeight="1">
      <c r="A10" s="11" t="s">
        <v>57</v>
      </c>
      <c r="B10" s="12" t="s">
        <v>58</v>
      </c>
      <c r="C10" s="112" t="s">
        <v>59</v>
      </c>
      <c r="D10" s="113"/>
      <c r="E10" s="114"/>
    </row>
    <row r="11" spans="1:5" ht="24.75" customHeight="1">
      <c r="A11" s="13" t="s">
        <v>60</v>
      </c>
      <c r="B11" s="9" t="s">
        <v>61</v>
      </c>
      <c r="C11" s="115" t="s">
        <v>62</v>
      </c>
      <c r="D11" s="116"/>
      <c r="E11" s="117"/>
    </row>
    <row r="12" spans="1:5" ht="24.75" customHeight="1">
      <c r="A12" s="13" t="s">
        <v>63</v>
      </c>
      <c r="B12" s="9" t="s">
        <v>64</v>
      </c>
      <c r="C12" s="115" t="s">
        <v>65</v>
      </c>
      <c r="D12" s="116"/>
      <c r="E12" s="117"/>
    </row>
    <row r="13" spans="1:5" ht="24.75" customHeight="1">
      <c r="A13" s="13" t="s">
        <v>66</v>
      </c>
      <c r="B13" s="9" t="s">
        <v>67</v>
      </c>
      <c r="C13" s="115" t="s">
        <v>68</v>
      </c>
      <c r="D13" s="116"/>
      <c r="E13" s="117"/>
    </row>
    <row r="14" spans="1:5" ht="24.75" customHeight="1" thickBot="1">
      <c r="A14" s="14" t="s">
        <v>69</v>
      </c>
      <c r="B14" s="10" t="s">
        <v>70</v>
      </c>
      <c r="C14" s="118" t="s">
        <v>71</v>
      </c>
      <c r="D14" s="119"/>
      <c r="E14" s="120"/>
    </row>
    <row r="15" spans="1:5" ht="15.75" thickBot="1">
      <c r="A15" s="6"/>
      <c r="B15" s="2"/>
      <c r="C15" s="2"/>
    </row>
    <row r="16" spans="1:5">
      <c r="A16" s="80" t="s">
        <v>72</v>
      </c>
      <c r="B16" s="81"/>
      <c r="C16" s="81"/>
      <c r="D16" s="81"/>
      <c r="E16" s="82"/>
    </row>
    <row r="17" spans="1:5">
      <c r="A17" s="8" t="s">
        <v>73</v>
      </c>
      <c r="B17" s="7" t="s">
        <v>74</v>
      </c>
      <c r="C17" s="121" t="s">
        <v>75</v>
      </c>
      <c r="D17" s="121"/>
      <c r="E17" s="122"/>
    </row>
    <row r="18" spans="1:5" ht="48" customHeight="1">
      <c r="A18" s="4" t="s">
        <v>76</v>
      </c>
      <c r="B18" s="9" t="s">
        <v>77</v>
      </c>
      <c r="C18" s="124" t="s">
        <v>78</v>
      </c>
      <c r="D18" s="138"/>
      <c r="E18" s="139"/>
    </row>
    <row r="19" spans="1:5">
      <c r="A19" s="4" t="s">
        <v>79</v>
      </c>
      <c r="B19" s="9" t="s">
        <v>80</v>
      </c>
      <c r="C19" s="124" t="s">
        <v>81</v>
      </c>
      <c r="D19" s="138"/>
      <c r="E19" s="139"/>
    </row>
    <row r="20" spans="1:5" ht="30">
      <c r="A20" s="4" t="s">
        <v>82</v>
      </c>
      <c r="B20" s="9" t="s">
        <v>83</v>
      </c>
      <c r="C20" s="124" t="s">
        <v>84</v>
      </c>
      <c r="D20" s="138"/>
      <c r="E20" s="139"/>
    </row>
    <row r="21" spans="1:5" ht="30">
      <c r="A21" s="4" t="s">
        <v>85</v>
      </c>
      <c r="B21" s="9" t="s">
        <v>86</v>
      </c>
      <c r="C21" s="124" t="s">
        <v>87</v>
      </c>
      <c r="D21" s="138"/>
      <c r="E21" s="139"/>
    </row>
    <row r="22" spans="1:5" ht="30.75" thickBot="1">
      <c r="A22" s="5" t="s">
        <v>88</v>
      </c>
      <c r="B22" s="10" t="s">
        <v>89</v>
      </c>
      <c r="C22" s="125" t="s">
        <v>78</v>
      </c>
      <c r="D22" s="140"/>
      <c r="E22" s="141"/>
    </row>
    <row r="23" spans="1:5" ht="15.75" thickBot="1">
      <c r="A23" s="6"/>
      <c r="B23" s="2"/>
      <c r="C23" s="2"/>
    </row>
    <row r="24" spans="1:5" ht="15.75" thickBot="1">
      <c r="A24" s="107" t="s">
        <v>90</v>
      </c>
      <c r="B24" s="111"/>
      <c r="C24" s="111"/>
      <c r="D24" s="111"/>
      <c r="E24" s="108"/>
    </row>
    <row r="25" spans="1:5" ht="21.75" customHeight="1">
      <c r="A25" s="126" t="s">
        <v>91</v>
      </c>
      <c r="B25" s="127"/>
      <c r="C25" s="127"/>
      <c r="D25" s="127"/>
      <c r="E25" s="128"/>
    </row>
    <row r="26" spans="1:5" ht="28.5" customHeight="1">
      <c r="A26" s="129"/>
      <c r="B26" s="130"/>
      <c r="C26" s="130"/>
      <c r="D26" s="130"/>
      <c r="E26" s="131"/>
    </row>
    <row r="27" spans="1:5" ht="30.75" hidden="1" customHeight="1">
      <c r="A27" s="129"/>
      <c r="B27" s="130"/>
      <c r="C27" s="130"/>
      <c r="D27" s="130"/>
      <c r="E27" s="131"/>
    </row>
    <row r="28" spans="1:5" ht="30.95" customHeight="1" thickBot="1">
      <c r="A28" s="132"/>
      <c r="B28" s="133"/>
      <c r="C28" s="133"/>
      <c r="D28" s="133"/>
      <c r="E28" s="134"/>
    </row>
    <row r="30" spans="1:5">
      <c r="A30" s="123" t="s">
        <v>92</v>
      </c>
      <c r="B30" s="123"/>
      <c r="C30" s="123"/>
      <c r="D30" s="123"/>
      <c r="E30" s="123"/>
    </row>
    <row r="31" spans="1:5" ht="33.75" customHeight="1">
      <c r="A31" s="123"/>
      <c r="B31" s="123"/>
      <c r="C31" s="123"/>
      <c r="D31" s="123"/>
      <c r="E31" s="123"/>
    </row>
  </sheetData>
  <sheetProtection algorithmName="SHA-512" hashValue="uM6EsEGRgW3YfYH0mlkJgvxka7CnS/GDCeA5nRSjj8e6ke77LkX65V/qSv46zSSWGckCIxM9sphflKqdnsvjFg==" saltValue="DyQO7Hd2vsT8nEN0+Bc7Gw==" spinCount="100000" sheet="1" objects="1" scenarios="1" selectLockedCells="1" selectUnlockedCells="1"/>
  <mergeCells count="18">
    <mergeCell ref="A30:E31"/>
    <mergeCell ref="C18:E18"/>
    <mergeCell ref="C19:E19"/>
    <mergeCell ref="C20:E20"/>
    <mergeCell ref="C21:E21"/>
    <mergeCell ref="C22:E22"/>
    <mergeCell ref="A25:E28"/>
    <mergeCell ref="C12:E12"/>
    <mergeCell ref="C13:E13"/>
    <mergeCell ref="C14:E14"/>
    <mergeCell ref="A24:E24"/>
    <mergeCell ref="A16:E16"/>
    <mergeCell ref="C17:E17"/>
    <mergeCell ref="A1:E1"/>
    <mergeCell ref="A2:E2"/>
    <mergeCell ref="A9:E9"/>
    <mergeCell ref="C10:E10"/>
    <mergeCell ref="C11:E11"/>
  </mergeCells>
  <pageMargins left="0.7" right="0.7" top="0.75" bottom="0.75" header="0.3" footer="0.3"/>
  <pageSetup paperSize="9" orientation="portrait" r:id="rId1"/>
  <headerFooter>
    <oddHeader>&amp;L&amp;"Aptos"&amp;10&amp;K000000 PÚBLICO&amp;1#_x000D_</oddHeader>
    <oddFooter>&amp;L_x000D_&amp;1#&amp;"Aptos"&amp;10&amp;K000000 PÚBLICO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4"/>
  <sheetViews>
    <sheetView topLeftCell="A8" zoomScale="90" zoomScaleNormal="90" workbookViewId="0">
      <selection activeCell="B17" sqref="B17"/>
    </sheetView>
  </sheetViews>
  <sheetFormatPr defaultRowHeight="15"/>
  <cols>
    <col min="1" max="1" width="42" style="60" customWidth="1"/>
    <col min="2" max="2" width="35" style="60" customWidth="1"/>
    <col min="3" max="3" width="16" style="61" customWidth="1"/>
    <col min="4" max="4" width="23" style="61" customWidth="1"/>
    <col min="5" max="5" width="25" style="61" customWidth="1"/>
    <col min="6" max="6" width="30" style="61" customWidth="1"/>
    <col min="7" max="7" width="9" style="60"/>
    <col min="8" max="8" width="9" style="61" customWidth="1"/>
    <col min="9" max="9" width="21.625" style="60" customWidth="1"/>
    <col min="10" max="10" width="17" style="61" customWidth="1"/>
    <col min="11" max="11" width="15" style="61" customWidth="1"/>
    <col min="12" max="12" width="22" style="61" customWidth="1"/>
    <col min="13" max="13" width="21" style="61" customWidth="1"/>
    <col min="14" max="14" width="20" style="61" customWidth="1"/>
    <col min="15" max="16384" width="9" style="60"/>
  </cols>
  <sheetData>
    <row r="1" spans="1:14" ht="21">
      <c r="A1" s="135" t="s">
        <v>93</v>
      </c>
      <c r="B1" s="135"/>
      <c r="C1" s="135"/>
      <c r="D1" s="135"/>
      <c r="E1" s="135"/>
      <c r="F1" s="135"/>
    </row>
    <row r="2" spans="1:14" ht="45">
      <c r="A2" s="142" t="s">
        <v>22</v>
      </c>
      <c r="B2" s="142" t="s">
        <v>94</v>
      </c>
      <c r="C2" s="142" t="s">
        <v>95</v>
      </c>
      <c r="D2" s="142" t="s">
        <v>96</v>
      </c>
      <c r="E2" s="142" t="s">
        <v>97</v>
      </c>
      <c r="F2" s="142" t="s">
        <v>98</v>
      </c>
      <c r="H2" s="142" t="s">
        <v>21</v>
      </c>
      <c r="I2" s="142" t="s">
        <v>99</v>
      </c>
      <c r="J2" s="142" t="s">
        <v>100</v>
      </c>
      <c r="K2" s="142" t="s">
        <v>95</v>
      </c>
      <c r="L2" s="142" t="s">
        <v>101</v>
      </c>
      <c r="M2" s="142" t="s">
        <v>102</v>
      </c>
      <c r="N2" s="142" t="s">
        <v>103</v>
      </c>
    </row>
    <row r="3" spans="1:14" ht="27.95" customHeight="1">
      <c r="A3" s="143" t="s">
        <v>104</v>
      </c>
      <c r="B3" s="143" t="s">
        <v>105</v>
      </c>
      <c r="C3" s="144" t="s">
        <v>106</v>
      </c>
      <c r="D3" s="144" t="s">
        <v>106</v>
      </c>
      <c r="E3" s="144" t="s">
        <v>107</v>
      </c>
      <c r="F3" s="144" t="s">
        <v>107</v>
      </c>
      <c r="H3" s="144">
        <v>1</v>
      </c>
      <c r="I3" s="144">
        <f>'Simulador Porte'!B13</f>
        <v>0</v>
      </c>
      <c r="J3" s="145">
        <f>'Simulador Porte'!D13</f>
        <v>200000</v>
      </c>
      <c r="K3" s="144" t="e">
        <f t="shared" ref="K3:K14" si="0">IF(I3="","",VLOOKUP(I3,$A$3:$F$15,3,FALSE))</f>
        <v>#N/A</v>
      </c>
      <c r="L3" s="144" t="e">
        <f t="shared" ref="L3:L14" si="1">IF(I3="","",VLOOKUP(I3,$A$3:$F$15,4,FALSE))</f>
        <v>#N/A</v>
      </c>
      <c r="M3" s="144" t="e">
        <f t="shared" ref="M3:M14" si="2">IF(I3="","",VLOOKUP(I3,$A$3:$F$15,5,FALSE))</f>
        <v>#N/A</v>
      </c>
      <c r="N3" s="144" t="e">
        <f t="shared" ref="N3:N14" si="3">IF(I3="","",VLOOKUP(I3,$A$3:$F$15,6,FALSE))</f>
        <v>#N/A</v>
      </c>
    </row>
    <row r="4" spans="1:14" ht="27.95" customHeight="1">
      <c r="A4" s="143" t="s">
        <v>108</v>
      </c>
      <c r="B4" s="62" t="s">
        <v>105</v>
      </c>
      <c r="C4" s="63" t="s">
        <v>106</v>
      </c>
      <c r="D4" s="63" t="s">
        <v>106</v>
      </c>
      <c r="E4" s="63" t="s">
        <v>107</v>
      </c>
      <c r="F4" s="144" t="s">
        <v>107</v>
      </c>
      <c r="H4" s="144">
        <v>2</v>
      </c>
      <c r="I4" s="144">
        <f>'Simulador Porte'!B14</f>
        <v>0</v>
      </c>
      <c r="J4" s="64">
        <f>'Simulador Porte'!D14</f>
        <v>100000</v>
      </c>
      <c r="K4" s="63" t="e">
        <f t="shared" si="0"/>
        <v>#N/A</v>
      </c>
      <c r="L4" s="63" t="e">
        <f t="shared" si="1"/>
        <v>#N/A</v>
      </c>
      <c r="M4" s="63" t="e">
        <f t="shared" si="2"/>
        <v>#N/A</v>
      </c>
      <c r="N4" s="144" t="e">
        <f t="shared" si="3"/>
        <v>#N/A</v>
      </c>
    </row>
    <row r="5" spans="1:14" ht="27.95" customHeight="1">
      <c r="A5" s="143" t="s">
        <v>109</v>
      </c>
      <c r="B5" s="62" t="s">
        <v>105</v>
      </c>
      <c r="C5" s="63" t="s">
        <v>106</v>
      </c>
      <c r="D5" s="63" t="s">
        <v>106</v>
      </c>
      <c r="E5" s="63" t="s">
        <v>107</v>
      </c>
      <c r="F5" s="144" t="s">
        <v>107</v>
      </c>
      <c r="H5" s="144">
        <v>3</v>
      </c>
      <c r="I5" s="144">
        <f>'Simulador Porte'!B15</f>
        <v>0</v>
      </c>
      <c r="J5" s="64">
        <f>'Simulador Porte'!D15</f>
        <v>0</v>
      </c>
      <c r="K5" s="63" t="e">
        <f t="shared" si="0"/>
        <v>#N/A</v>
      </c>
      <c r="L5" s="63" t="e">
        <f t="shared" si="1"/>
        <v>#N/A</v>
      </c>
      <c r="M5" s="63" t="e">
        <f t="shared" si="2"/>
        <v>#N/A</v>
      </c>
      <c r="N5" s="144" t="e">
        <f t="shared" si="3"/>
        <v>#N/A</v>
      </c>
    </row>
    <row r="6" spans="1:14" ht="27.95" customHeight="1">
      <c r="A6" s="143" t="s">
        <v>110</v>
      </c>
      <c r="B6" s="62" t="s">
        <v>111</v>
      </c>
      <c r="C6" s="63" t="s">
        <v>106</v>
      </c>
      <c r="D6" s="63" t="s">
        <v>107</v>
      </c>
      <c r="E6" s="63" t="s">
        <v>106</v>
      </c>
      <c r="F6" s="144" t="s">
        <v>107</v>
      </c>
      <c r="H6" s="144">
        <v>4</v>
      </c>
      <c r="I6" s="144">
        <f>'Simulador Porte'!B16</f>
        <v>0</v>
      </c>
      <c r="J6" s="64">
        <f>'Simulador Porte'!D16</f>
        <v>0</v>
      </c>
      <c r="K6" s="63" t="e">
        <f t="shared" si="0"/>
        <v>#N/A</v>
      </c>
      <c r="L6" s="63" t="e">
        <f t="shared" si="1"/>
        <v>#N/A</v>
      </c>
      <c r="M6" s="63" t="e">
        <f t="shared" si="2"/>
        <v>#N/A</v>
      </c>
      <c r="N6" s="144" t="e">
        <f t="shared" si="3"/>
        <v>#N/A</v>
      </c>
    </row>
    <row r="7" spans="1:14" ht="27.95" customHeight="1">
      <c r="A7" s="143" t="s">
        <v>112</v>
      </c>
      <c r="B7" s="62" t="s">
        <v>111</v>
      </c>
      <c r="C7" s="63" t="s">
        <v>106</v>
      </c>
      <c r="D7" s="63" t="s">
        <v>107</v>
      </c>
      <c r="E7" s="63" t="s">
        <v>106</v>
      </c>
      <c r="F7" s="144" t="s">
        <v>107</v>
      </c>
      <c r="H7" s="144">
        <v>5</v>
      </c>
      <c r="I7" s="144">
        <f>'Simulador Porte'!B17</f>
        <v>0</v>
      </c>
      <c r="J7" s="64">
        <f>'Simulador Porte'!D17</f>
        <v>0</v>
      </c>
      <c r="K7" s="63" t="e">
        <f t="shared" si="0"/>
        <v>#N/A</v>
      </c>
      <c r="L7" s="63" t="e">
        <f t="shared" si="1"/>
        <v>#N/A</v>
      </c>
      <c r="M7" s="63" t="e">
        <f t="shared" si="2"/>
        <v>#N/A</v>
      </c>
      <c r="N7" s="144" t="e">
        <f t="shared" si="3"/>
        <v>#N/A</v>
      </c>
    </row>
    <row r="8" spans="1:14" ht="27.95" customHeight="1">
      <c r="A8" s="143" t="s">
        <v>113</v>
      </c>
      <c r="B8" s="62" t="s">
        <v>111</v>
      </c>
      <c r="C8" s="63" t="s">
        <v>106</v>
      </c>
      <c r="D8" s="63" t="s">
        <v>106</v>
      </c>
      <c r="E8" s="63" t="s">
        <v>107</v>
      </c>
      <c r="F8" s="144" t="s">
        <v>107</v>
      </c>
      <c r="H8" s="144">
        <v>6</v>
      </c>
      <c r="I8" s="144">
        <f>'Simulador Porte'!B18</f>
        <v>0</v>
      </c>
      <c r="J8" s="64">
        <f>'Simulador Porte'!D18</f>
        <v>0</v>
      </c>
      <c r="K8" s="63" t="e">
        <f t="shared" si="0"/>
        <v>#N/A</v>
      </c>
      <c r="L8" s="63" t="e">
        <f t="shared" si="1"/>
        <v>#N/A</v>
      </c>
      <c r="M8" s="63" t="e">
        <f t="shared" si="2"/>
        <v>#N/A</v>
      </c>
      <c r="N8" s="144" t="e">
        <f t="shared" si="3"/>
        <v>#N/A</v>
      </c>
    </row>
    <row r="9" spans="1:14" ht="27.95" customHeight="1">
      <c r="A9" s="143" t="s">
        <v>114</v>
      </c>
      <c r="B9" s="62" t="s">
        <v>115</v>
      </c>
      <c r="C9" s="63" t="s">
        <v>107</v>
      </c>
      <c r="D9" s="63" t="s">
        <v>107</v>
      </c>
      <c r="E9" s="63" t="s">
        <v>106</v>
      </c>
      <c r="F9" s="144" t="s">
        <v>106</v>
      </c>
      <c r="H9" s="144">
        <v>7</v>
      </c>
      <c r="I9" s="144">
        <f>'Simulador Porte'!B19</f>
        <v>0</v>
      </c>
      <c r="J9" s="64">
        <f>'Simulador Porte'!D19</f>
        <v>0</v>
      </c>
      <c r="K9" s="63" t="e">
        <f t="shared" si="0"/>
        <v>#N/A</v>
      </c>
      <c r="L9" s="63" t="e">
        <f t="shared" si="1"/>
        <v>#N/A</v>
      </c>
      <c r="M9" s="63" t="e">
        <f t="shared" si="2"/>
        <v>#N/A</v>
      </c>
      <c r="N9" s="144" t="e">
        <f t="shared" si="3"/>
        <v>#N/A</v>
      </c>
    </row>
    <row r="10" spans="1:14" ht="27.95" customHeight="1">
      <c r="A10" s="143" t="s">
        <v>116</v>
      </c>
      <c r="B10" s="62" t="s">
        <v>115</v>
      </c>
      <c r="C10" s="63" t="s">
        <v>107</v>
      </c>
      <c r="D10" s="63" t="s">
        <v>107</v>
      </c>
      <c r="E10" s="63" t="s">
        <v>106</v>
      </c>
      <c r="F10" s="144" t="s">
        <v>106</v>
      </c>
      <c r="H10" s="144">
        <v>8</v>
      </c>
      <c r="I10" s="144">
        <f>'Simulador Porte'!B20</f>
        <v>0</v>
      </c>
      <c r="J10" s="64">
        <f>'Simulador Porte'!D20</f>
        <v>0</v>
      </c>
      <c r="K10" s="63" t="e">
        <f t="shared" si="0"/>
        <v>#N/A</v>
      </c>
      <c r="L10" s="63" t="e">
        <f t="shared" si="1"/>
        <v>#N/A</v>
      </c>
      <c r="M10" s="63" t="e">
        <f t="shared" si="2"/>
        <v>#N/A</v>
      </c>
      <c r="N10" s="144" t="e">
        <f t="shared" si="3"/>
        <v>#N/A</v>
      </c>
    </row>
    <row r="11" spans="1:14" ht="27.95" customHeight="1">
      <c r="A11" s="143" t="s">
        <v>117</v>
      </c>
      <c r="B11" s="62" t="s">
        <v>115</v>
      </c>
      <c r="C11" s="63" t="s">
        <v>107</v>
      </c>
      <c r="D11" s="63" t="s">
        <v>107</v>
      </c>
      <c r="E11" s="63" t="s">
        <v>106</v>
      </c>
      <c r="F11" s="144" t="s">
        <v>106</v>
      </c>
      <c r="H11" s="144">
        <v>9</v>
      </c>
      <c r="I11" s="144">
        <f>'Simulador Porte'!B21</f>
        <v>0</v>
      </c>
      <c r="J11" s="64">
        <f>'Simulador Porte'!D21</f>
        <v>0</v>
      </c>
      <c r="K11" s="63" t="e">
        <f t="shared" si="0"/>
        <v>#N/A</v>
      </c>
      <c r="L11" s="63" t="e">
        <f t="shared" si="1"/>
        <v>#N/A</v>
      </c>
      <c r="M11" s="63" t="e">
        <f t="shared" si="2"/>
        <v>#N/A</v>
      </c>
      <c r="N11" s="144" t="e">
        <f t="shared" si="3"/>
        <v>#N/A</v>
      </c>
    </row>
    <row r="12" spans="1:14" ht="27.95" customHeight="1">
      <c r="A12" s="143" t="s">
        <v>118</v>
      </c>
      <c r="B12" s="62" t="s">
        <v>115</v>
      </c>
      <c r="C12" s="63" t="s">
        <v>107</v>
      </c>
      <c r="D12" s="63" t="s">
        <v>107</v>
      </c>
      <c r="E12" s="63" t="s">
        <v>106</v>
      </c>
      <c r="F12" s="144" t="s">
        <v>106</v>
      </c>
      <c r="H12" s="144">
        <v>10</v>
      </c>
      <c r="I12" s="144">
        <f>'Simulador Porte'!B22</f>
        <v>0</v>
      </c>
      <c r="J12" s="64">
        <f>'Simulador Porte'!D22</f>
        <v>0</v>
      </c>
      <c r="K12" s="63" t="e">
        <f t="shared" si="0"/>
        <v>#N/A</v>
      </c>
      <c r="L12" s="63" t="e">
        <f t="shared" si="1"/>
        <v>#N/A</v>
      </c>
      <c r="M12" s="63" t="e">
        <f t="shared" si="2"/>
        <v>#N/A</v>
      </c>
      <c r="N12" s="144" t="e">
        <f t="shared" si="3"/>
        <v>#N/A</v>
      </c>
    </row>
    <row r="13" spans="1:14" ht="27.95" customHeight="1">
      <c r="A13" s="143" t="s">
        <v>119</v>
      </c>
      <c r="B13" s="62" t="s">
        <v>115</v>
      </c>
      <c r="C13" s="63" t="s">
        <v>107</v>
      </c>
      <c r="D13" s="63" t="s">
        <v>107</v>
      </c>
      <c r="E13" s="63" t="s">
        <v>106</v>
      </c>
      <c r="F13" s="144" t="s">
        <v>106</v>
      </c>
      <c r="H13" s="144">
        <v>11</v>
      </c>
      <c r="I13" s="144">
        <f>'Simulador Porte'!B23</f>
        <v>0</v>
      </c>
      <c r="J13" s="64">
        <f>'Simulador Porte'!D23</f>
        <v>0</v>
      </c>
      <c r="K13" s="63" t="e">
        <f t="shared" si="0"/>
        <v>#N/A</v>
      </c>
      <c r="L13" s="63" t="e">
        <f t="shared" si="1"/>
        <v>#N/A</v>
      </c>
      <c r="M13" s="63" t="e">
        <f t="shared" si="2"/>
        <v>#N/A</v>
      </c>
      <c r="N13" s="144" t="e">
        <f t="shared" si="3"/>
        <v>#N/A</v>
      </c>
    </row>
    <row r="14" spans="1:14" ht="27.95" customHeight="1">
      <c r="A14" s="143" t="s">
        <v>120</v>
      </c>
      <c r="B14" s="62" t="s">
        <v>115</v>
      </c>
      <c r="C14" s="63" t="s">
        <v>107</v>
      </c>
      <c r="D14" s="63" t="s">
        <v>107</v>
      </c>
      <c r="E14" s="63" t="s">
        <v>106</v>
      </c>
      <c r="F14" s="144" t="s">
        <v>106</v>
      </c>
      <c r="H14" s="144">
        <v>12</v>
      </c>
      <c r="I14" s="144">
        <f>'Simulador Porte'!B24</f>
        <v>0</v>
      </c>
      <c r="J14" s="145">
        <f>'Simulador Porte'!D24</f>
        <v>0</v>
      </c>
      <c r="K14" s="144" t="e">
        <f t="shared" si="0"/>
        <v>#N/A</v>
      </c>
      <c r="L14" s="144" t="e">
        <f t="shared" si="1"/>
        <v>#N/A</v>
      </c>
      <c r="M14" s="144" t="e">
        <f t="shared" si="2"/>
        <v>#N/A</v>
      </c>
      <c r="N14" s="144" t="e">
        <f t="shared" si="3"/>
        <v>#N/A</v>
      </c>
    </row>
    <row r="15" spans="1:14" ht="27.95" customHeight="1">
      <c r="A15" s="143" t="s">
        <v>121</v>
      </c>
      <c r="B15" s="62" t="s">
        <v>115</v>
      </c>
      <c r="C15" s="144" t="s">
        <v>107</v>
      </c>
      <c r="D15" s="144" t="s">
        <v>107</v>
      </c>
      <c r="E15" s="144" t="s">
        <v>106</v>
      </c>
      <c r="F15" s="144" t="s">
        <v>106</v>
      </c>
    </row>
    <row r="17" spans="1:6">
      <c r="A17" s="142" t="s">
        <v>17</v>
      </c>
      <c r="B17" s="146">
        <f>SUMIF($K$3:$K$14,"SIM",$J$3:$J$14)</f>
        <v>0</v>
      </c>
    </row>
    <row r="18" spans="1:6">
      <c r="A18" s="142" t="s">
        <v>96</v>
      </c>
      <c r="B18" s="65">
        <f>SUMIF($L$3:$L$14,"SIM",$J$3:$J$14)</f>
        <v>0</v>
      </c>
    </row>
    <row r="19" spans="1:6">
      <c r="A19" s="142" t="s">
        <v>122</v>
      </c>
      <c r="B19" s="65">
        <f>SUMIF($M$3:$M$14,"SIM",$J$3:$J$14)</f>
        <v>0</v>
      </c>
    </row>
    <row r="20" spans="1:6">
      <c r="A20" s="142" t="s">
        <v>18</v>
      </c>
      <c r="B20" s="66">
        <f>B18+B19</f>
        <v>0</v>
      </c>
    </row>
    <row r="21" spans="1:6">
      <c r="A21" s="142" t="s">
        <v>123</v>
      </c>
      <c r="B21" s="65">
        <f>SUMIF($N$3:$N$14,"SIM",$J$3:$J$14)</f>
        <v>0</v>
      </c>
    </row>
    <row r="22" spans="1:6">
      <c r="A22" s="142" t="s">
        <v>124</v>
      </c>
      <c r="B22" s="67">
        <f>IF(B20=0,0,B18/B20)</f>
        <v>0</v>
      </c>
    </row>
    <row r="23" spans="1:6">
      <c r="A23" s="142" t="s">
        <v>125</v>
      </c>
      <c r="B23" s="67">
        <f>IF(B20=0,0,B21/B20)</f>
        <v>0</v>
      </c>
    </row>
    <row r="24" spans="1:6">
      <c r="A24" s="142" t="s">
        <v>126</v>
      </c>
      <c r="B24" s="143" t="str">
        <f>IF(B20=0,"PREENCHER RENDAS",IF(B17&lt;=500000,"PEQUENO",IF(B17&lt;=3500000,"MÉDIO","GRANDE")))</f>
        <v>PREENCHER RENDAS</v>
      </c>
    </row>
    <row r="25" spans="1:6">
      <c r="A25" s="142" t="s">
        <v>127</v>
      </c>
      <c r="B25" s="143" t="str">
        <f>IF(B20=0,"NÃO APLICÁVEL",IF('Simulador Porte'!B7="SELECIONAR","INFORMAR CONDIÇÃO DA TERRA",IF(AND(OR('Simulador Porte'!B7="PROPRIETÁRIO RURAL",'Simulador Porte'!B7="POSSEIRO",'Simulador Porte'!B7="ARRENDATÁRIO",'Simulador Porte'!B7="PARCEIRO"),B20&lt;=3500000,B22&gt;=80%),"SIM","NÃO")))</f>
        <v>NÃO APLICÁVEL</v>
      </c>
    </row>
    <row r="26" spans="1:6">
      <c r="A26" s="142" t="s">
        <v>128</v>
      </c>
      <c r="B26" s="143" t="str">
        <f>IF(B20=0,"NÃO APLICÁVEL",IF(B23&gt;20%,"SIM","NÃO"))</f>
        <v>NÃO APLICÁVEL</v>
      </c>
    </row>
    <row r="27" spans="1:6">
      <c r="A27" s="142" t="s">
        <v>129</v>
      </c>
      <c r="B27" t="str">
        <f>IF(UPPER('Simulador Porte'!B6)="SIM","PEQUENO PRODUTOR",IF(B20=0,"PREENCHER RENDAS",IF(B25="INFORMAR CONDIÇÃO DA TERRA","INFORMAR CONDIÇÃO DA TERRA",IF(B25="SIM","MÉDIO PRODUTOR",IF(B26="SIM","GRANDE PRODUTOR",IF(B24="PEQUENO","PEQUENO PRODUTOR",IF(B24="MÉDIO","MÉDIO PRODUTOR","GRANDE PRODUTOR")))))))</f>
        <v>PREENCHER RENDAS</v>
      </c>
    </row>
    <row r="28" spans="1:6" ht="85.5" customHeight="1">
      <c r="A28" s="142" t="s">
        <v>130</v>
      </c>
      <c r="B28" s="143" t="str">
        <f>IF(B27="PREENCHER RENDAS",
"Informe pelo menos uma renda anual para realizar a classificação.",
IF(B27="INFORMAR CONDIÇÃO DA TERRA",
"Selecione a condição de exploração da terra para concluir a análise das condições do Pronamp.",
IF(UPPER('Simulador Porte'!B6)="SIM",
"O produtor foi classificado como PEQUENO PRODUTOR por possuir CAF válido com enquadramento no Pronaf, conforme a regra especial prevista no MCR 1-2-5(e).",
IF(B25="SIM",
"A RBA apurada foi de "&amp;TEXT(B17,"R$ #.##0,00")&amp;", valor que, considerado isoladamente, corresponderia ao porte "&amp;B24&amp;_xlfn._LONGTEXT(" pela faixa da RBA. Entretanto, não foi informado CAF válido com enquadramento no Pronaf e, por esse motivo, o produtor não é elegível ao Pronaf nesta simulação. Por outro lado, o produtor atende cumulativamente às condições do Pronamp: condição de explor","ação da terra admitida, Receita Bruta Total de ")&amp;TEXT(B20,"R$ #.##0,00")&amp;", dentro do limite de R$ 3.500.000,00, e "&amp;TEXT(B22,"0,00%")&amp;" da renda originária da atividade agropecuária, percentual igual ou superior a 80%. Assim, conforme o MCR 1-2-5(f), o beneficiário enquadrado nas condições do Pronamp é considerado MÉDIO PRODUTOR. Portanto, o porte final apurado é MÉDIO PRODUTOR.",
IF(B26="SIM",
"O produtor foi classificado como GRANDE PRODUTOR porque os rendimentos provenientes de atividades não rurais representam "&amp;TEXT(B23,"0,00%")&amp;" da Receita Bruta Total, percentual superior a 20%, conforme o MCR 1-2-5(g).",
IF(B24="PEQUENO",
"O produtor foi classificado como PEQUENO PRODUTOR porque a RBA apurada foi de "&amp;TEXT(B17,"R$ #.##0,00")&amp;", valor dentro do limite de R$ 500.000,00, e não foi identificada regra especial que alterasse essa classificação.",
IF(B24="MÉDIO",
"O produtor foi classificado como MÉDIO PRODUTOR porque a RBA apurada foi de "&amp;TEXT(B17,"R$ #.##0,00")&amp;", valor acima de R$ 500.000,00 e até R$ 3.500.000,00, e não foi identificada regra especial que alterasse essa classificação.",
"O produtor foi classificado como GRANDE PRODUTOR porque a RBA apurada foi de "&amp;TEXT(B17,"R$ #.##0,00")&amp;", valor superior a R$ 3.500.000,00."
)))))))</f>
        <v>Informe pelo menos uma renda anual para realizar a classificação.</v>
      </c>
    </row>
    <row r="29" spans="1:6">
      <c r="A29" s="142" t="s">
        <v>40</v>
      </c>
      <c r="B29" s="143" t="str">
        <f>IF(B27="PREENCHER RENDAS","-",IF(B27="INFORMAR CONDIÇÃO DA TERRA","Preenchimento pendente",IF(UPPER('Simulador Porte'!B6)="SIM","MCR 1-2-5(e) e MCR 10-2",IF(B25="SIM","MCR 1-2-5(f) e MCR 8-1",IF(B26="SIM","MCR 1-2-5(g)",IF(B24="PEQUENO","MCR 1-2-3(a)",IF(B24="MÉDIO","MCR 1-2-3(b)","MCR 1-2-3(c)")))))))</f>
        <v>-</v>
      </c>
    </row>
    <row r="30" spans="1:6">
      <c r="A30" s="142" t="s">
        <v>29</v>
      </c>
      <c r="B30" s="143" t="str">
        <f>IF(UPPER('Simulador Porte'!B6)="SIM","ENQUADRADO","NÃO INFORMADO / NÃO ENQUADRADO")</f>
        <v>NÃO INFORMADO / NÃO ENQUADRADO</v>
      </c>
    </row>
    <row r="32" spans="1:6">
      <c r="A32" s="136" t="s">
        <v>131</v>
      </c>
      <c r="B32" s="136"/>
      <c r="C32" s="136"/>
      <c r="D32" s="136"/>
      <c r="E32" s="136"/>
      <c r="F32" s="136"/>
    </row>
    <row r="33" spans="1:6">
      <c r="A33" s="136"/>
      <c r="B33" s="136"/>
      <c r="C33" s="136"/>
      <c r="D33" s="136"/>
      <c r="E33" s="136"/>
      <c r="F33" s="136"/>
    </row>
    <row r="34" spans="1:6">
      <c r="A34" s="136"/>
      <c r="B34" s="136"/>
      <c r="C34" s="136"/>
      <c r="D34" s="136"/>
      <c r="E34" s="136"/>
      <c r="F34" s="136"/>
    </row>
  </sheetData>
  <sheetProtection algorithmName="SHA-512" hashValue="mcqi77heacChybOtFNLXga2tkW+UxOd7VsO5E9DTwu61zgssKZu7M3UGV8yr0S6yDbOn6yR1VbCHnv5f2cKMsw==" saltValue="qlgDIRf++fokaL9O9YITcA==" spinCount="100000" sheet="1" objects="1" scenarios="1" selectLockedCells="1" selectUnlockedCells="1"/>
  <mergeCells count="2">
    <mergeCell ref="A1:F1"/>
    <mergeCell ref="A32:F34"/>
  </mergeCells>
  <pageMargins left="0.7" right="0.7" top="0.75" bottom="0.75" header="0.3" footer="0.3"/>
  <headerFooter>
    <oddHeader>&amp;L&amp;"Aptos"&amp;10&amp;K000000 PÚBLICO&amp;1#_x000D_</oddHeader>
    <oddFooter>&amp;L_x000D_&amp;1#&amp;"Aptos"&amp;10&amp;K000000 PÚBLICO</oddFooter>
  </headerFooter>
</worksheet>
</file>

<file path=docMetadata/LabelInfo.xml><?xml version="1.0" encoding="utf-8"?>
<clbl:labelList xmlns:clbl="http://schemas.microsoft.com/office/2020/mipLabelMetadata">
  <clbl:label id="{6459b2e0-2ec4-47e6-afc1-6e3f8b684f6a}" enabled="1" method="Privileged" siteId="{b417b620-2ae9-4a83-ab6c-7fbd828bda1d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2026-07-31T17:11:12Z</dcterms:created>
  <dcterms:modified xsi:type="dcterms:W3CDTF">2026-07-31T17:11:12Z</dcterms:modified>
  <cp:category/>
  <cp:contentStatus/>
</cp:coreProperties>
</file>