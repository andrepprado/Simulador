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avia.Gomes\Downloads\"/>
    </mc:Choice>
  </mc:AlternateContent>
  <xr:revisionPtr revIDLastSave="0" documentId="13_ncr:1_{17ECDF72-4F41-4516-9394-AC621836F9A8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Orientações" sheetId="2" r:id="rId1"/>
    <sheet name="Cálculo por Período" sheetId="1" r:id="rId2"/>
    <sheet name="Resumo" sheetId="3" r:id="rId3"/>
    <sheet name="Notas Diárias (Opicional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G9" i="4"/>
  <c r="Q5" i="1"/>
  <c r="S5" i="1" s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S6" i="1"/>
  <c r="S7" i="1"/>
  <c r="C5" i="3" s="1"/>
  <c r="C6" i="3" s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Flavia Barros Gomes</author>
  </authors>
  <commentList>
    <comment ref="C4" authorId="0" shapeId="0" xr:uid="{DC9CCD8D-ADCD-47E4-BA07-29F7F4F70695}">
      <text>
        <r>
          <rPr>
            <b/>
            <sz val="9"/>
            <color indexed="81"/>
            <rFont val="Segoe UI"/>
            <family val="2"/>
          </rPr>
          <t>Flavia Barros Gomes: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u/>
            <sz val="9"/>
            <color indexed="81"/>
            <rFont val="Segoe UI"/>
            <family val="2"/>
          </rPr>
          <t xml:space="preserve">Nota referente: </t>
        </r>
        <r>
          <rPr>
            <sz val="9"/>
            <color indexed="81"/>
            <rFont val="Segoe UI"/>
            <family val="2"/>
          </rPr>
          <t xml:space="preserve">
- Ciclo Anual ou Safra;
- Um único mês;
- Mais de um mês;
- Período Especifico ou por lote.</t>
        </r>
      </text>
    </comment>
    <comment ref="R4" authorId="0" shapeId="0" xr:uid="{C54E80D0-D2AC-4603-9E98-B28F854429D4}">
      <text>
        <r>
          <rPr>
            <b/>
            <sz val="9"/>
            <color indexed="81"/>
            <rFont val="Segoe UI"/>
            <family val="2"/>
          </rPr>
          <t>Flavia Barros Gomes: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 xml:space="preserve">1. </t>
        </r>
        <r>
          <rPr>
            <b/>
            <u/>
            <sz val="9"/>
            <color indexed="81"/>
            <rFont val="Segoe UI"/>
            <family val="2"/>
          </rPr>
          <t>Ciclo anual ou safra:</t>
        </r>
        <r>
          <rPr>
            <sz val="9"/>
            <color indexed="81"/>
            <rFont val="Segoe UI"/>
            <family val="2"/>
          </rPr>
          <t xml:space="preserve"> </t>
        </r>
        <r>
          <rPr>
            <i/>
            <sz val="9"/>
            <color indexed="81"/>
            <rFont val="Segoe UI"/>
            <family val="2"/>
          </rPr>
          <t xml:space="preserve">Quando a documentação representar uma safra ou ciclo anual, dividir o valor total por 12 meses.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 xml:space="preserve">2. </t>
        </r>
        <r>
          <rPr>
            <b/>
            <u/>
            <sz val="9"/>
            <color indexed="81"/>
            <rFont val="Segoe UI"/>
            <family val="2"/>
          </rPr>
          <t xml:space="preserve">Um único mês: </t>
        </r>
        <r>
          <rPr>
            <i/>
            <sz val="9"/>
            <color indexed="81"/>
            <rFont val="Segoe UI"/>
            <family val="2"/>
          </rPr>
          <t xml:space="preserve">Quando as notas representarem apenas um mês, somar os valores das notas do período.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3.</t>
        </r>
        <r>
          <rPr>
            <sz val="9"/>
            <color indexed="81"/>
            <rFont val="Segoe UI"/>
            <family val="2"/>
          </rPr>
          <t xml:space="preserve"> </t>
        </r>
        <r>
          <rPr>
            <b/>
            <u/>
            <sz val="9"/>
            <color indexed="81"/>
            <rFont val="Segoe UI"/>
            <family val="2"/>
          </rPr>
          <t>Mais de um mês:</t>
        </r>
        <r>
          <rPr>
            <sz val="9"/>
            <color indexed="81"/>
            <rFont val="Segoe UI"/>
            <family val="2"/>
          </rPr>
          <t xml:space="preserve"> </t>
        </r>
        <r>
          <rPr>
            <i/>
            <sz val="9"/>
            <color indexed="81"/>
            <rFont val="Segoe UI"/>
            <family val="2"/>
          </rPr>
          <t xml:space="preserve">Somar as notas do período e dividir pela quantidade de meses efetivamente representados.
</t>
        </r>
        <r>
          <rPr>
            <sz val="9"/>
            <color indexed="81"/>
            <rFont val="Segoe UI"/>
            <family val="2"/>
          </rPr>
          <t xml:space="preserve">
4. </t>
        </r>
        <r>
          <rPr>
            <b/>
            <u/>
            <sz val="9"/>
            <color indexed="81"/>
            <rFont val="Segoe UI"/>
            <family val="2"/>
          </rPr>
          <t>Período específico ou por lote:</t>
        </r>
        <r>
          <rPr>
            <sz val="9"/>
            <color indexed="81"/>
            <rFont val="Segoe UI"/>
            <family val="2"/>
          </rPr>
          <t xml:space="preserve"> </t>
        </r>
        <r>
          <rPr>
            <i/>
            <sz val="9"/>
            <color indexed="81"/>
            <rFont val="Segoe UI"/>
            <family val="2"/>
          </rPr>
          <t>Identificar o período econômico representado pela documentação e dividir o valor total pela quantidade de meses correspondente.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<sst xmlns="http://schemas.openxmlformats.org/spreadsheetml/2006/main" count="50" uniqueCount="50">
  <si>
    <t>Cálculo de Renda Agropecuária por Período das Notas</t>
  </si>
  <si>
    <t>Produto/Cultura (opcional)</t>
  </si>
  <si>
    <t>Valor Total das Notas (R$)</t>
  </si>
  <si>
    <t>Renda Mensal Calculada (R$)</t>
  </si>
  <si>
    <t>Observação/Justificativa</t>
  </si>
  <si>
    <t>Soja</t>
  </si>
  <si>
    <t>Leite</t>
  </si>
  <si>
    <t>Pecuária de corte</t>
  </si>
  <si>
    <t>Fórmula</t>
  </si>
  <si>
    <t>Renda Mensal = Valor Total das Notas ÷ Meses Representados</t>
  </si>
  <si>
    <t xml:space="preserve">Qtd. </t>
  </si>
  <si>
    <t>Referência do Situação</t>
  </si>
  <si>
    <t>Ciclo Anual ou Safra</t>
  </si>
  <si>
    <t>Mais de um mês</t>
  </si>
  <si>
    <t>Nº da Nota(s) (opcional)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</si>
  <si>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</si>
  <si>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</si>
  <si>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</si>
  <si>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</si>
  <si>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</si>
  <si>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</si>
  <si>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</si>
  <si>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</si>
  <si>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</si>
  <si>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</si>
  <si>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</si>
  <si>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</si>
  <si>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Meses de Apuração (preencher)</t>
  </si>
  <si>
    <t>Período específico ou por lote</t>
  </si>
  <si>
    <t>Renda Mensal Total Calculada</t>
  </si>
  <si>
    <t>Renda Anual Projetada que vai ser projetada pelo Sistema</t>
  </si>
  <si>
    <t>Quantidade de atividades/notas lançadas</t>
  </si>
  <si>
    <t>Orientações para Preenchimento</t>
  </si>
  <si>
    <t>Qtd</t>
  </si>
  <si>
    <t>Nº Nota</t>
  </si>
  <si>
    <t>Valor</t>
  </si>
  <si>
    <t xml:space="preserve">Valor Total Mês: </t>
  </si>
  <si>
    <t>Valor da nota</t>
  </si>
  <si>
    <r>
      <rPr>
        <b/>
        <sz val="10"/>
        <color rgb="FF003641"/>
        <rFont val="Sicoob Sans"/>
        <family val="2"/>
      </rPr>
      <t xml:space="preserve">Informação: </t>
    </r>
    <r>
      <rPr>
        <i/>
        <sz val="10"/>
        <color rgb="FF003641"/>
        <rFont val="Sicoob Sans"/>
        <family val="2"/>
      </rPr>
      <t>Esta tabela possui caráter acessório e tem por finalidade auxiliar na consolidação de notas fiscais diárias ou semanais, mediante a simples soma dos valores. O valor total apurado para o mês deverá ser informado na aba Cálculo por Período, para fins de apuração da renda mensal.</t>
    </r>
  </si>
  <si>
    <r>
      <rPr>
        <b/>
        <u/>
        <sz val="11"/>
        <color rgb="FF003641"/>
        <rFont val="Sicoob Sans"/>
        <family val="2"/>
      </rPr>
      <t>Exemplo:</t>
    </r>
    <r>
      <rPr>
        <sz val="11"/>
        <color rgb="FF003641"/>
        <rFont val="Sicoob Sans"/>
        <family val="2"/>
      </rPr>
      <t xml:space="preserve"> </t>
    </r>
    <r>
      <rPr>
        <i/>
        <sz val="10"/>
        <color rgb="FF003641"/>
        <rFont val="Sicoob Sans"/>
        <family val="2"/>
      </rPr>
      <t xml:space="preserve">
Quando as notas representarem apenas um mês, somar os valores das notas do período.
R$ 8.000,00 + R$ 5.000,00 + R$ 7.000,00 = R$ 20.000,00/mês</t>
    </r>
  </si>
  <si>
    <r>
      <rPr>
        <b/>
        <sz val="11"/>
        <color rgb="FF003641"/>
        <rFont val="Sicoob Sans"/>
        <family val="2"/>
      </rPr>
      <t xml:space="preserve">Regra: </t>
    </r>
    <r>
      <rPr>
        <sz val="11"/>
        <color rgb="FF003641"/>
        <rFont val="Sicoob Sans"/>
        <family val="2"/>
      </rPr>
      <t>informe a quantidade de meses efetivamente representada pelas notas fiscais apresentadas. A renda será calculada com base nesse período, independentemente da atividade exercida ou da quantidade de notas emitidas.</t>
    </r>
  </si>
  <si>
    <r>
      <rPr>
        <b/>
        <sz val="11"/>
        <color rgb="FF003641"/>
        <rFont val="Sicoob Sans"/>
        <family val="2"/>
      </rPr>
      <t xml:space="preserve">1.  </t>
    </r>
    <r>
      <rPr>
        <sz val="11"/>
        <color rgb="FF003641"/>
        <rFont val="Sicoob Sans"/>
        <family val="2"/>
      </rPr>
      <t xml:space="preserve"> O cálculo deve se basear no período econômico representado pelas notas.</t>
    </r>
  </si>
  <si>
    <r>
      <rPr>
        <b/>
        <sz val="11"/>
        <color rgb="FF003641"/>
        <rFont val="Sicoob Sans"/>
        <family val="2"/>
      </rPr>
      <t xml:space="preserve">2.   </t>
    </r>
    <r>
      <rPr>
        <sz val="11"/>
        <color rgb="FF003641"/>
        <rFont val="Sicoob Sans"/>
        <family val="2"/>
      </rPr>
      <t>Não utilizar a atividade como regra fixa de cálculo.</t>
    </r>
  </si>
  <si>
    <r>
      <rPr>
        <b/>
        <sz val="11"/>
        <color rgb="FF003641"/>
        <rFont val="Sicoob Sans"/>
        <family val="2"/>
      </rPr>
      <t>3.</t>
    </r>
    <r>
      <rPr>
        <sz val="11"/>
        <color rgb="FF003641"/>
        <rFont val="Sicoob Sans"/>
        <family val="2"/>
      </rPr>
      <t xml:space="preserve">   Não utilizar a quantidade de notas fiscais como quantidade de meses.</t>
    </r>
  </si>
  <si>
    <r>
      <rPr>
        <b/>
        <sz val="11"/>
        <color rgb="FF003641"/>
        <rFont val="Sicoob Sans"/>
        <family val="2"/>
      </rPr>
      <t>4.</t>
    </r>
    <r>
      <rPr>
        <sz val="11"/>
        <color rgb="FF003641"/>
        <rFont val="Sicoob Sans"/>
        <family val="2"/>
      </rPr>
      <t xml:space="preserve">   A cooperativa deve informar manualmente a quantidade de meses representados pela documentação.</t>
    </r>
  </si>
  <si>
    <r>
      <rPr>
        <b/>
        <sz val="11"/>
        <color rgb="FF003641"/>
        <rFont val="Sicoob Sans"/>
        <family val="2"/>
      </rPr>
      <t>5.</t>
    </r>
    <r>
      <rPr>
        <sz val="11"/>
        <color rgb="FF003641"/>
        <rFont val="Sicoob Sans"/>
        <family val="2"/>
      </rPr>
      <t xml:space="preserve">   Se as notas representarem 12 meses ou uma safra anual, preencher 12.</t>
    </r>
  </si>
  <si>
    <r>
      <rPr>
        <b/>
        <sz val="11"/>
        <color rgb="FF003641"/>
        <rFont val="Sicoob Sans"/>
        <family val="2"/>
      </rPr>
      <t>6.</t>
    </r>
    <r>
      <rPr>
        <sz val="11"/>
        <color rgb="FF003641"/>
        <rFont val="Sicoob Sans"/>
        <family val="2"/>
      </rPr>
      <t xml:space="preserve">   Se as notas representarem 2, 3 ou 6 meses, preencher o respectivo período.</t>
    </r>
  </si>
  <si>
    <r>
      <rPr>
        <b/>
        <sz val="11"/>
        <color rgb="FF003641"/>
        <rFont val="Sicoob Sans"/>
        <family val="2"/>
      </rPr>
      <t xml:space="preserve">7.   </t>
    </r>
    <r>
      <rPr>
        <sz val="11"/>
        <color rgb="FF003641"/>
        <rFont val="Sicoob Sans"/>
        <family val="2"/>
      </rPr>
      <t>Quando houver mais de um conjunto de notas, lançar cada período em uma linha e somar as rendas mensais.</t>
    </r>
  </si>
  <si>
    <t>Cálculo de Renda Agropecuária por Notas</t>
  </si>
  <si>
    <t>Quadro Resumo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</si>
</sst>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&quot;R$&quot;\ #,##0.00"/>
  </numFmts>
  <fonts count="22">
    <font>
      <sz val="11"/>
      <name val="Carlito"/>
    </font>
    <font>
      <sz val="11"/>
      <name val="Arial"/>
      <family val="2"/>
    </font>
    <font>
      <sz val="9"/>
      <color indexed="81"/>
      <name val="Segoe UI"/>
      <family val="2"/>
    </font>
    <font>
      <sz val="8"/>
      <name val="Carlito"/>
    </font>
    <font>
      <b/>
      <sz val="9"/>
      <color indexed="81"/>
      <name val="Segoe UI"/>
      <family val="2"/>
    </font>
    <font>
      <b/>
      <u/>
      <sz val="9"/>
      <color indexed="81"/>
      <name val="Segoe UI"/>
      <family val="2"/>
    </font>
    <font>
      <i/>
      <sz val="9"/>
      <color indexed="81"/>
      <name val="Segoe UI"/>
      <family val="2"/>
    </font>
    <font>
      <b/>
      <sz val="20"/>
      <color rgb="FFFFFFFF"/>
      <name val="Sicoob Sans Black"/>
      <family val="2"/>
    </font>
    <font>
      <sz val="11"/>
      <name val="Sicoob Sans"/>
      <family val="2"/>
    </font>
    <font>
      <b/>
      <sz val="11"/>
      <name val="Sicoob Sans"/>
      <family val="2"/>
    </font>
    <font>
      <b/>
      <sz val="11"/>
      <color theme="0"/>
      <name val="Sicoob Sans"/>
      <family val="2"/>
    </font>
    <font>
      <b/>
      <sz val="11"/>
      <color rgb="FFFFFFFF"/>
      <name val="Sicoob Sans"/>
      <family val="2"/>
    </font>
    <font>
      <b/>
      <sz val="14"/>
      <color rgb="FFFFFFFF"/>
      <name val="Sicoob Sans"/>
      <family val="2"/>
    </font>
    <font>
      <b/>
      <sz val="18"/>
      <color rgb="FF7DB61C"/>
      <name val="Sicoob Sans"/>
      <family val="2"/>
    </font>
    <font>
      <b/>
      <sz val="11"/>
      <color rgb="FF003641"/>
      <name val="Sicoob Sans"/>
      <family val="2"/>
    </font>
    <font>
      <b/>
      <sz val="16"/>
      <color theme="0"/>
      <name val="Sicoob Sans"/>
      <family val="2"/>
    </font>
    <font>
      <sz val="10"/>
      <color rgb="FF003641"/>
      <name val="Sicoob Sans"/>
      <family val="2"/>
    </font>
    <font>
      <b/>
      <sz val="10"/>
      <color rgb="FF003641"/>
      <name val="Sicoob Sans"/>
      <family val="2"/>
    </font>
    <font>
      <i/>
      <sz val="10"/>
      <color rgb="FF003641"/>
      <name val="Sicoob Sans"/>
      <family val="2"/>
    </font>
    <font>
      <sz val="11"/>
      <color rgb="FF003641"/>
      <name val="Sicoob Sans"/>
      <family val="2"/>
    </font>
    <font>
      <b/>
      <u/>
      <sz val="11"/>
      <color rgb="FF003641"/>
      <name val="Sicoob Sans"/>
      <family val="2"/>
    </font>
    <font>
      <b/>
      <sz val="12"/>
      <color rgb="FFFFFFFF"/>
      <name val="Sicoob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00AE9D"/>
      </patternFill>
    </fill>
    <fill>
      <patternFill patternType="solid">
        <fgColor rgb="FF003641"/>
      </patternFill>
    </fill>
    <fill>
      <patternFill patternType="solid">
        <fgColor rgb="FF003641"/>
        <bgColor indexed="64"/>
      </patternFill>
    </fill>
    <fill>
      <patternFill patternType="solid">
        <fgColor rgb="FF00A09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3641"/>
      </left>
      <right style="thin">
        <color rgb="FF003641"/>
      </right>
      <top style="thin">
        <color rgb="FF003641"/>
      </top>
      <bottom style="thin">
        <color rgb="FF00364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12" fillId="2" borderId="0" xfId="0" applyFont="1" applyFill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21" fillId="3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165" fontId="10" fillId="5" borderId="4" xfId="0" applyNumberFormat="1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165" fontId="14" fillId="6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4" borderId="0" xfId="0" applyFont="1" applyFill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5" fontId="8" fillId="0" borderId="0" xfId="0" applyNumberFormat="1" applyFont="1" applyAlignment="1" applyProtection="1">
      <alignment horizontal="center" vertical="center" wrapText="1"/>
      <protection locked="0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165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0" fontId="10" fillId="4" borderId="2" xfId="0" applyFont="1" applyFill="1" applyBorder="1"/>
    <xf numFmtId="165" fontId="9" fillId="0" borderId="3" xfId="0" applyNumberFormat="1" applyFont="1" applyBorder="1"/>
    <xf numFmtId="0" fontId="1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</cellXfs>
  <cellStyles count="1">
    <cellStyle name="Normal" xfId="0" builtinId="0"/>
  </cellStyles>
  <dxfs count="30">
    <dxf>
      <font>
        <strike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protection locked="0" hidden="0"/>
    </dxf>
    <dxf>
      <font>
        <b/>
        <strike val="0"/>
        <outline val="0"/>
        <shadow val="0"/>
        <u val="none"/>
        <vertAlign val="baseline"/>
        <sz val="11"/>
        <color theme="0"/>
        <name val="Sicoob Sans"/>
        <family val="2"/>
        <scheme val="none"/>
      </font>
      <fill>
        <patternFill patternType="solid">
          <fgColor indexed="64"/>
          <bgColor rgb="FF00364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icoob Sans"/>
        <family val="2"/>
        <scheme val="none"/>
      </font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Sicoob Sans"/>
        <family val="2"/>
        <scheme val="none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icoob Sans"/>
        <family val="2"/>
        <scheme val="none"/>
      </font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Sicoob Sans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icoob Sans"/>
        <family val="2"/>
        <scheme val="none"/>
      </font>
      <numFmt numFmtId="164" formatCode="\R\$\ #,##0.00"/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Sicoob Sans"/>
        <family val="2"/>
        <scheme val="none"/>
      </font>
      <numFmt numFmtId="165" formatCode="&quot;R$&quot;\ #,##0.00"/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numFmt numFmtId="165" formatCode="&quot;R$&quot;\ #,##0.00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icoob Sans"/>
        <family val="2"/>
        <scheme val="none"/>
      </font>
      <numFmt numFmtId="165" formatCode="&quot;R$&quot;\ #,##0.00"/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numFmt numFmtId="165" formatCode="&quot;R$&quot;\ #,##0.00"/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numFmt numFmtId="165" formatCode="&quot;R$&quot;\ #,##0.00"/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numFmt numFmtId="165" formatCode="&quot;R$&quot;\ #,##0.00"/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numFmt numFmtId="165" formatCode="&quot;R$&quot;\ #,##0.00"/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numFmt numFmtId="165" formatCode="&quot;R$&quot;\ #,##0.00"/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numFmt numFmtId="165" formatCode="&quot;R$&quot;\ #,##0.00"/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numFmt numFmtId="165" formatCode="&quot;R$&quot;\ #,##0.00"/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numFmt numFmtId="165" formatCode="&quot;R$&quot;\ #,##0.00"/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coob Sans"/>
        <family val="2"/>
        <scheme val="none"/>
      </font>
      <numFmt numFmtId="165" formatCode="&quot;R$&quot;\ #,##0.00"/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icoob Sans"/>
        <family val="2"/>
        <scheme val="none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icoob Sans"/>
        <family val="2"/>
        <scheme val="none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icoob Sans"/>
        <family val="2"/>
        <scheme val="none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icoob Sans"/>
        <family val="2"/>
        <scheme val="none"/>
      </font>
      <alignment horizontal="center" vertical="center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Sicoob Sans"/>
        <family val="2"/>
        <scheme val="none"/>
      </font>
      <alignment horizontal="center" vertical="center" textRotation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003641"/>
      <color rgb="FF00A091"/>
      <color rgb="FFC9D200"/>
      <color rgb="FF7DB61C"/>
      <color rgb="FF4947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2886075</xdr:colOff>
      <xdr:row>1</xdr:row>
      <xdr:rowOff>171450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86075" cy="1057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164523</xdr:colOff>
      <xdr:row>0</xdr:row>
      <xdr:rowOff>0</xdr:rowOff>
    </xdr:from>
    <xdr:to>
      <xdr:col>2</xdr:col>
      <xdr:colOff>502661</xdr:colOff>
      <xdr:row>1</xdr:row>
      <xdr:rowOff>38100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23" y="0"/>
          <a:ext cx="2121911" cy="8520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1</xdr:col>
      <xdr:colOff>2119313</xdr:colOff>
      <xdr:row>2</xdr:row>
      <xdr:rowOff>523875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2119313" cy="847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28575</xdr:rowOff>
    </xdr:from>
    <xdr:to>
      <xdr:col>1</xdr:col>
      <xdr:colOff>1376363</xdr:colOff>
      <xdr:row>0</xdr:row>
      <xdr:rowOff>876300</xdr:rowOff>
    </xdr:to>
    <xdr:pic>
      <xdr:nvPicPr>
        <xdr:cNvPr id="2" name="Imagem 1" descr="Logotipo, nome da empresa&#10;&#10;Descrição gerada automaticament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28575"/>
          <a:ext cx="2119313" cy="8477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culoPorPeriodo" displayName="CalculoPorPeriodo" ref="C4:T364" headerRowDxfId="29" dataDxfId="28" totalsRowDxfId="27">
  <tableColumns count="18">
    <tableColumn id="1" xr3:uid="{00000000-0010-0000-0000-000001000000}" name="Referência do Situação" dataDxfId="26"/>
    <tableColumn id="2" xr3:uid="{00000000-0010-0000-0000-000002000000}" name="Produto/Cultura (opcional)" dataDxfId="25"/>
    <tableColumn id="11" xr3:uid="{E60989F7-DDF0-4740-861F-B78DBB41F098}" name="Jan" dataDxfId="24"/>
    <tableColumn id="12" xr3:uid="{07B81DDB-C8A7-4797-8194-84A0323D79FA}" name="Fev" dataDxfId="23"/>
    <tableColumn id="9" xr3:uid="{6DCB801A-87F3-447F-AB5F-DDB55BE45CAC}" name="Mar" dataDxfId="22"/>
    <tableColumn id="10" xr3:uid="{85E74436-F6DF-4303-A544-5335D0B9DEE1}" name="Abr" dataDxfId="21"/>
    <tableColumn id="13" xr3:uid="{61E9A982-A525-4494-95DD-6E8DB4F1BE73}" name="Mai" dataDxfId="20"/>
    <tableColumn id="15" xr3:uid="{9E815534-CCD3-4D07-BF26-10857A6D817B}" name="Jun" dataDxfId="19"/>
    <tableColumn id="16" xr3:uid="{2EB5CC2C-5D9F-4725-83B9-81A3BCC4C91E}" name="Jul" dataDxfId="18"/>
    <tableColumn id="17" xr3:uid="{3C489437-F87D-4F47-AA62-1B5A76099800}" name="Ago" dataDxfId="17"/>
    <tableColumn id="14" xr3:uid="{2EAF4324-26FD-4BF8-93EA-68175A2DCCA1}" name="Set" dataDxfId="16"/>
    <tableColumn id="3" xr3:uid="{00000000-0010-0000-0000-000003000000}" name="Out" dataDxfId="15"/>
    <tableColumn id="18" xr3:uid="{4ADA0E54-6A2E-45C5-A16F-F3915924DD03}" name="Nov" dataDxfId="14"/>
    <tableColumn id="4" xr3:uid="{00000000-0010-0000-0000-000004000000}" name="Dez" dataDxfId="13"/>
    <tableColumn id="5" xr3:uid="{00000000-0010-0000-0000-000005000000}" name="Valor Total das Notas (R$)" dataDxfId="12">
      <calculatedColumnFormula>SUM(CalculoPorPeriodo[[#This Row],[Jan]:[Dez]])</calculatedColumnFormula>
    </tableColumn>
    <tableColumn id="6" xr3:uid="{00000000-0010-0000-0000-000006000000}" name="Meses de Apuração (preencher)" dataDxfId="11"/>
    <tableColumn id="7" xr3:uid="{00000000-0010-0000-0000-000007000000}" name="Renda Mensal Calculada (R$)" dataDxfId="10"/>
    <tableColumn id="8" xr3:uid="{00000000-0010-0000-0000-000008000000}" name="Observação/Justificativa" dataDxfId="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0B3D3F-8272-480E-9020-81F6101DCFB6}" name="Tabela2" displayName="Tabela2" ref="A4:B364" totalsRowShown="0" headerRowDxfId="8" dataDxfId="7">
  <tableColumns count="2">
    <tableColumn id="1" xr3:uid="{0F40A872-C41A-49F6-B476-3A5E7F169F72}" name="Qtd. " dataDxfId="6"/>
    <tableColumn id="2" xr3:uid="{B40BDE4E-9256-4089-82A0-8025F9F31E8B}" name="Nº da Nota(s) (opcional)" dataDxfId="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24C149-4AD6-494F-B1AA-C425220CA3FA}" name="Tabela4" displayName="Tabela4" ref="A6:C311" totalsRowShown="0" headerRowDxfId="4" dataDxfId="3">
  <autoFilter ref="A6:C311" xr:uid="{F124C149-4AD6-494F-B1AA-C425220CA3FA}"/>
  <tableColumns count="3">
    <tableColumn id="1" xr3:uid="{B1FFF601-00A5-4869-AB8F-435F55EE13BD}" name="Qtd" dataDxfId="2"/>
    <tableColumn id="2" xr3:uid="{31DFF498-926D-432E-8A61-892D7A149F6C}" name="Nº Nota" dataDxfId="1"/>
    <tableColumn id="3" xr3:uid="{CD66432F-4DDD-47CF-8088-F4A9FA424C35}" name="Valor da nota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091"/>
  </sheetPr>
  <dimension ref="A1:A15"/>
  <sheetViews>
    <sheetView showGridLines="0" workbookViewId="0">
      <selection activeCell="D7" sqref="D7"/>
    </sheetView>
  </sheetViews>
  <sheetFormatPr defaultRowHeight="14.25"/>
  <cols>
    <col min="1" max="1" width="120" customWidth="1"/>
  </cols>
  <sheetData>
    <row r="1" spans="1:1" ht="69.75" customHeight="1"/>
    <row r="2" spans="1:1" ht="28.5" customHeight="1">
      <c r="A2" s="2" t="s">
        <v>32</v>
      </c>
    </row>
    <row r="3" spans="1:1" ht="24.75" customHeight="1">
      <c r="A3" s="7" t="s">
        <v>41</v>
      </c>
    </row>
    <row r="4" spans="1:1" ht="24.75" customHeight="1">
      <c r="A4" s="7" t="s">
        <v>42</v>
      </c>
    </row>
    <row r="5" spans="1:1" ht="24.75" customHeight="1">
      <c r="A5" s="7" t="s">
        <v>43</v>
      </c>
    </row>
    <row r="6" spans="1:1" ht="24.75" customHeight="1">
      <c r="A6" s="7" t="s">
        <v>44</v>
      </c>
    </row>
    <row r="7" spans="1:1" ht="24.75" customHeight="1">
      <c r="A7" s="7" t="s">
        <v>45</v>
      </c>
    </row>
    <row r="8" spans="1:1" ht="24.75" customHeight="1">
      <c r="A8" s="7" t="s">
        <v>46</v>
      </c>
    </row>
    <row r="9" spans="1:1" ht="24.75" customHeight="1">
      <c r="A9" s="7" t="s">
        <v>47</v>
      </c>
    </row>
    <row r="10" spans="1:1" ht="24.75" customHeight="1">
      <c r="A10" s="3"/>
    </row>
    <row r="11" spans="1:1" ht="24.75" customHeight="1">
      <c r="A11" s="5" t="s">
        <v>8</v>
      </c>
    </row>
    <row r="12" spans="1:1" ht="24.75" customHeight="1">
      <c r="A12" s="6" t="s">
        <v>9</v>
      </c>
    </row>
    <row r="13" spans="1:1" ht="24.75" customHeight="1">
      <c r="A13" s="3"/>
    </row>
    <row r="14" spans="1:1" ht="15">
      <c r="A14" s="4"/>
    </row>
    <row r="15" spans="1:1" ht="15">
      <c r="A15" s="4"/>
    </row>
  </sheetData>
  <sheetProtection algorithmName="SHA-512" hashValue="tda5Aq7kf8F4l0n3PF4ubpkQ9L0tEVi1KV/qUP2LD+OMJmEFA+An823tg6TEE7Jnu81iE1tGgj6Q53BL2zLkFA==" saltValue="JrXtqpW3cMVi9TTV0OjuRw==" spinCount="100000" sheet="1" objects="1" scenarios="1" selectLockedCells="1" selectUnlockedCells="1"/>
  <pageMargins left="0.7" right="0.7" top="0.75" bottom="0.75" header="0.3" footer="0.3"/>
  <headerFooter>
    <oddHeader>&amp;L&amp;"Aptos"&amp;10&amp;K000000 PÚBLICO&amp;1#_x000D_</oddHeader>
    <oddFooter>&amp;L_x000D_&amp;1#&amp;"Aptos"&amp;10&amp;K000000 PÚBLICO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D200"/>
  </sheetPr>
  <dimension ref="A1:T364"/>
  <sheetViews>
    <sheetView showGridLines="0" tabSelected="1" zoomScale="110" zoomScaleNormal="110" workbookViewId="0">
      <selection activeCell="F18" sqref="F18"/>
    </sheetView>
  </sheetViews>
  <sheetFormatPr defaultRowHeight="14.25"/>
  <cols>
    <col min="1" max="1" width="7.75" style="13" customWidth="1"/>
    <col min="2" max="2" width="15.625" style="13" customWidth="1"/>
    <col min="3" max="3" width="26.75" style="13" customWidth="1"/>
    <col min="4" max="4" width="21.75" style="13" customWidth="1"/>
    <col min="5" max="13" width="18" style="13" customWidth="1"/>
    <col min="14" max="16" width="16" style="13" customWidth="1"/>
    <col min="17" max="17" width="18" style="13" customWidth="1"/>
    <col min="18" max="18" width="17" style="13" customWidth="1"/>
    <col min="19" max="19" width="22" style="13" customWidth="1"/>
    <col min="20" max="20" width="38.625" style="13" customWidth="1"/>
    <col min="21" max="16384" width="9" style="13"/>
  </cols>
  <sheetData>
    <row r="1" spans="1:20" ht="63.7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ht="28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0" s="14" customFormat="1" ht="29.25" customHeight="1">
      <c r="A3" s="31" t="s">
        <v>40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0" s="14" customFormat="1" ht="45">
      <c r="A4" s="28" t="s">
        <v>10</v>
      </c>
      <c r="B4" s="29" t="s">
        <v>14</v>
      </c>
      <c r="C4" s="24" t="s">
        <v>11</v>
      </c>
      <c r="D4" s="24" t="s">
        <v>1</v>
      </c>
      <c r="E4" s="24" t="s">
        <v>15</v>
      </c>
      <c r="F4" s="24" t="s">
        <v>16</v>
      </c>
      <c r="G4" s="24" t="s">
        <v>17</v>
      </c>
      <c r="H4" s="24" t="s">
        <v>18</v>
      </c>
      <c r="I4" s="24" t="s">
        <v>19</v>
      </c>
      <c r="J4" s="24" t="s">
        <v>20</v>
      </c>
      <c r="K4" s="24" t="s">
        <v>21</v>
      </c>
      <c r="L4" s="24" t="s">
        <v>22</v>
      </c>
      <c r="M4" s="24" t="s">
        <v>23</v>
      </c>
      <c r="N4" s="24" t="s">
        <v>24</v>
      </c>
      <c r="O4" s="24" t="s">
        <v>25</v>
      </c>
      <c r="P4" s="24" t="s">
        <v>26</v>
      </c>
      <c r="Q4" s="24" t="s">
        <v>2</v>
      </c>
      <c r="R4" s="24" t="s">
        <v>27</v>
      </c>
      <c r="S4" s="24" t="s">
        <v>3</v>
      </c>
      <c r="T4" s="24" t="s">
        <v>4</v>
      </c>
    </row>
    <row r="5" spans="1:20" s="14" customFormat="1" ht="15">
      <c r="A5" s="14">
        <v>1</v>
      </c>
      <c r="B5" s="14">
        <v>1234</v>
      </c>
      <c r="C5" s="14" t="s">
        <v>12</v>
      </c>
      <c r="D5" s="16" t="s">
        <v>5</v>
      </c>
      <c r="E5" s="17"/>
      <c r="F5" s="17">
        <v>240000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25">
        <f>SUM(CalculoPorPeriodo[[#This Row],[Jan]:[Dez]])</f>
        <v>240000</v>
      </c>
      <c r="R5" s="18">
        <v>12</v>
      </c>
      <c r="S5" s="25">
        <f t="shared" ref="S5:S36" si="0">IF(AND(Q5&lt;&gt;"",R5&lt;&gt;""),Q5/R5,"")</f>
        <v>20000</v>
      </c>
    </row>
    <row r="6" spans="1:20" s="14" customFormat="1" ht="15">
      <c r="A6" s="14">
        <f>A5+1</f>
        <v>2</v>
      </c>
      <c r="B6" s="14">
        <v>2345</v>
      </c>
      <c r="C6" s="14" t="s">
        <v>13</v>
      </c>
      <c r="D6" s="16" t="s">
        <v>6</v>
      </c>
      <c r="E6" s="17">
        <v>25000</v>
      </c>
      <c r="F6" s="17"/>
      <c r="G6" s="17">
        <v>4111</v>
      </c>
      <c r="H6" s="17"/>
      <c r="I6" s="17"/>
      <c r="J6" s="17"/>
      <c r="K6" s="17"/>
      <c r="L6" s="17"/>
      <c r="M6" s="17"/>
      <c r="N6" s="17"/>
      <c r="O6" s="17"/>
      <c r="P6" s="17"/>
      <c r="Q6" s="25">
        <f>SUM(CalculoPorPeriodo[[#This Row],[Jan]:[Dez]])</f>
        <v>29111</v>
      </c>
      <c r="R6" s="18">
        <v>2</v>
      </c>
      <c r="S6" s="25">
        <f t="shared" si="0"/>
        <v>14555.5</v>
      </c>
      <c r="T6" s="16"/>
    </row>
    <row r="7" spans="1:20" s="14" customFormat="1" ht="15">
      <c r="A7" s="14">
        <f t="shared" ref="A7:A70" si="1">A6+1</f>
        <v>3</v>
      </c>
      <c r="B7" s="14">
        <v>5698</v>
      </c>
      <c r="C7" s="14" t="s">
        <v>28</v>
      </c>
      <c r="D7" s="16" t="s">
        <v>7</v>
      </c>
      <c r="E7" s="17">
        <v>48526</v>
      </c>
      <c r="F7" s="17"/>
      <c r="G7" s="17"/>
      <c r="H7" s="17">
        <v>1477262</v>
      </c>
      <c r="I7" s="17"/>
      <c r="J7" s="17"/>
      <c r="K7" s="17"/>
      <c r="L7" s="17"/>
      <c r="M7" s="17"/>
      <c r="N7" s="17"/>
      <c r="O7" s="17"/>
      <c r="P7" s="17"/>
      <c r="Q7" s="25">
        <f>SUM(CalculoPorPeriodo[[#This Row],[Jan]:[Dez]])</f>
        <v>1525788</v>
      </c>
      <c r="R7" s="18">
        <v>12</v>
      </c>
      <c r="S7" s="25">
        <f t="shared" si="0"/>
        <v>127149</v>
      </c>
      <c r="T7" s="16"/>
    </row>
    <row r="8" spans="1:20" s="14" customFormat="1" ht="15">
      <c r="A8" s="14">
        <f t="shared" si="1"/>
        <v>4</v>
      </c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25">
        <f>SUM(CalculoPorPeriodo[[#This Row],[Jan]:[Dez]])</f>
        <v>0</v>
      </c>
      <c r="R8" s="18"/>
      <c r="S8" s="25" t="str">
        <f t="shared" si="0"/>
        <v/>
      </c>
      <c r="T8" s="16"/>
    </row>
    <row r="9" spans="1:20" s="14" customFormat="1" ht="15">
      <c r="A9" s="14">
        <f t="shared" si="1"/>
        <v>5</v>
      </c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25">
        <f>SUM(CalculoPorPeriodo[[#This Row],[Jan]:[Dez]])</f>
        <v>0</v>
      </c>
      <c r="R9" s="18"/>
      <c r="S9" s="25" t="str">
        <f t="shared" si="0"/>
        <v/>
      </c>
      <c r="T9" s="16"/>
    </row>
    <row r="10" spans="1:20" s="14" customFormat="1" ht="15">
      <c r="A10" s="14">
        <f t="shared" si="1"/>
        <v>6</v>
      </c>
      <c r="D10" s="1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25">
        <f>SUM(CalculoPorPeriodo[[#This Row],[Jan]:[Dez]])</f>
        <v>0</v>
      </c>
      <c r="R10" s="18"/>
      <c r="S10" s="25" t="str">
        <f t="shared" si="0"/>
        <v/>
      </c>
      <c r="T10" s="16"/>
    </row>
    <row r="11" spans="1:20" s="14" customFormat="1" ht="15">
      <c r="A11" s="14">
        <f t="shared" si="1"/>
        <v>7</v>
      </c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5">
        <f>SUM(CalculoPorPeriodo[[#This Row],[Jan]:[Dez]])</f>
        <v>0</v>
      </c>
      <c r="R11" s="18"/>
      <c r="S11" s="25" t="str">
        <f t="shared" si="0"/>
        <v/>
      </c>
      <c r="T11" s="16"/>
    </row>
    <row r="12" spans="1:20" s="14" customFormat="1" ht="15">
      <c r="A12" s="14">
        <f t="shared" si="1"/>
        <v>8</v>
      </c>
      <c r="D12" s="16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25">
        <f>SUM(CalculoPorPeriodo[[#This Row],[Jan]:[Dez]])</f>
        <v>0</v>
      </c>
      <c r="R12" s="18"/>
      <c r="S12" s="25" t="str">
        <f t="shared" si="0"/>
        <v/>
      </c>
      <c r="T12" s="16"/>
    </row>
    <row r="13" spans="1:20" s="14" customFormat="1" ht="15">
      <c r="A13" s="14">
        <f t="shared" si="1"/>
        <v>9</v>
      </c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25">
        <f>SUM(CalculoPorPeriodo[[#This Row],[Jan]:[Dez]])</f>
        <v>0</v>
      </c>
      <c r="R13" s="18"/>
      <c r="S13" s="25" t="str">
        <f t="shared" si="0"/>
        <v/>
      </c>
      <c r="T13" s="16"/>
    </row>
    <row r="14" spans="1:20" s="14" customFormat="1" ht="15">
      <c r="A14" s="14">
        <f t="shared" si="1"/>
        <v>10</v>
      </c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25">
        <f>SUM(CalculoPorPeriodo[[#This Row],[Jan]:[Dez]])</f>
        <v>0</v>
      </c>
      <c r="R14" s="18"/>
      <c r="S14" s="25" t="str">
        <f t="shared" si="0"/>
        <v/>
      </c>
      <c r="T14" s="16"/>
    </row>
    <row r="15" spans="1:20" s="14" customFormat="1" ht="15">
      <c r="A15" s="14">
        <f t="shared" si="1"/>
        <v>11</v>
      </c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25">
        <f>SUM(CalculoPorPeriodo[[#This Row],[Jan]:[Dez]])</f>
        <v>0</v>
      </c>
      <c r="R15" s="18"/>
      <c r="S15" s="25" t="str">
        <f t="shared" si="0"/>
        <v/>
      </c>
      <c r="T15" s="16"/>
    </row>
    <row r="16" spans="1:20" s="14" customFormat="1" ht="15">
      <c r="A16" s="14">
        <f t="shared" si="1"/>
        <v>12</v>
      </c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25">
        <f>SUM(CalculoPorPeriodo[[#This Row],[Jan]:[Dez]])</f>
        <v>0</v>
      </c>
      <c r="R16" s="18"/>
      <c r="S16" s="25" t="str">
        <f t="shared" si="0"/>
        <v/>
      </c>
      <c r="T16" s="16"/>
    </row>
    <row r="17" spans="1:20" s="14" customFormat="1" ht="15">
      <c r="A17" s="14">
        <f t="shared" si="1"/>
        <v>13</v>
      </c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25">
        <f>SUM(CalculoPorPeriodo[[#This Row],[Jan]:[Dez]])</f>
        <v>0</v>
      </c>
      <c r="R17" s="18"/>
      <c r="S17" s="25" t="str">
        <f t="shared" si="0"/>
        <v/>
      </c>
      <c r="T17" s="16"/>
    </row>
    <row r="18" spans="1:20" s="14" customFormat="1" ht="15">
      <c r="A18" s="14">
        <f t="shared" si="1"/>
        <v>14</v>
      </c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25">
        <f>SUM(CalculoPorPeriodo[[#This Row],[Jan]:[Dez]])</f>
        <v>0</v>
      </c>
      <c r="R18" s="18"/>
      <c r="S18" s="25" t="str">
        <f t="shared" si="0"/>
        <v/>
      </c>
      <c r="T18" s="16"/>
    </row>
    <row r="19" spans="1:20" s="14" customFormat="1" ht="15">
      <c r="A19" s="14">
        <f t="shared" si="1"/>
        <v>15</v>
      </c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25">
        <f>SUM(CalculoPorPeriodo[[#This Row],[Jan]:[Dez]])</f>
        <v>0</v>
      </c>
      <c r="R19" s="18"/>
      <c r="S19" s="25" t="str">
        <f t="shared" si="0"/>
        <v/>
      </c>
      <c r="T19" s="16"/>
    </row>
    <row r="20" spans="1:20" s="14" customFormat="1" ht="15">
      <c r="A20" s="14">
        <f t="shared" si="1"/>
        <v>16</v>
      </c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5">
        <f>SUM(CalculoPorPeriodo[[#This Row],[Jan]:[Dez]])</f>
        <v>0</v>
      </c>
      <c r="R20" s="18"/>
      <c r="S20" s="25" t="str">
        <f t="shared" si="0"/>
        <v/>
      </c>
      <c r="T20" s="16"/>
    </row>
    <row r="21" spans="1:20" s="14" customFormat="1" ht="15">
      <c r="A21" s="14">
        <f t="shared" si="1"/>
        <v>17</v>
      </c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25">
        <f>SUM(CalculoPorPeriodo[[#This Row],[Jan]:[Dez]])</f>
        <v>0</v>
      </c>
      <c r="R21" s="18"/>
      <c r="S21" s="25" t="str">
        <f t="shared" si="0"/>
        <v/>
      </c>
      <c r="T21" s="16"/>
    </row>
    <row r="22" spans="1:20" s="14" customFormat="1" ht="15">
      <c r="A22" s="14">
        <f t="shared" si="1"/>
        <v>18</v>
      </c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25">
        <f>SUM(CalculoPorPeriodo[[#This Row],[Jan]:[Dez]])</f>
        <v>0</v>
      </c>
      <c r="R22" s="18"/>
      <c r="S22" s="25" t="str">
        <f t="shared" si="0"/>
        <v/>
      </c>
      <c r="T22" s="16"/>
    </row>
    <row r="23" spans="1:20" s="14" customFormat="1" ht="15">
      <c r="A23" s="14">
        <f t="shared" si="1"/>
        <v>19</v>
      </c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25">
        <f>SUM(CalculoPorPeriodo[[#This Row],[Jan]:[Dez]])</f>
        <v>0</v>
      </c>
      <c r="R23" s="18"/>
      <c r="S23" s="25" t="str">
        <f t="shared" si="0"/>
        <v/>
      </c>
      <c r="T23" s="16"/>
    </row>
    <row r="24" spans="1:20" s="14" customFormat="1" ht="15">
      <c r="A24" s="14">
        <f t="shared" si="1"/>
        <v>20</v>
      </c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25">
        <f>SUM(CalculoPorPeriodo[[#This Row],[Jan]:[Dez]])</f>
        <v>0</v>
      </c>
      <c r="R24" s="18"/>
      <c r="S24" s="25" t="str">
        <f t="shared" si="0"/>
        <v/>
      </c>
      <c r="T24" s="16"/>
    </row>
    <row r="25" spans="1:20" s="14" customFormat="1" ht="15">
      <c r="A25" s="14">
        <f t="shared" si="1"/>
        <v>21</v>
      </c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25">
        <f>SUM(CalculoPorPeriodo[[#This Row],[Jan]:[Dez]])</f>
        <v>0</v>
      </c>
      <c r="R25" s="18"/>
      <c r="S25" s="25" t="str">
        <f t="shared" si="0"/>
        <v/>
      </c>
      <c r="T25" s="16"/>
    </row>
    <row r="26" spans="1:20" s="14" customFormat="1" ht="15">
      <c r="A26" s="14">
        <f t="shared" si="1"/>
        <v>22</v>
      </c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25">
        <f>SUM(CalculoPorPeriodo[[#This Row],[Jan]:[Dez]])</f>
        <v>0</v>
      </c>
      <c r="R26" s="18"/>
      <c r="S26" s="25" t="str">
        <f t="shared" si="0"/>
        <v/>
      </c>
      <c r="T26" s="16"/>
    </row>
    <row r="27" spans="1:20" s="14" customFormat="1" ht="15">
      <c r="A27" s="14">
        <f t="shared" si="1"/>
        <v>23</v>
      </c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25">
        <f>SUM(CalculoPorPeriodo[[#This Row],[Jan]:[Dez]])</f>
        <v>0</v>
      </c>
      <c r="R27" s="18"/>
      <c r="S27" s="25" t="str">
        <f t="shared" si="0"/>
        <v/>
      </c>
      <c r="T27" s="16"/>
    </row>
    <row r="28" spans="1:20" s="14" customFormat="1" ht="15">
      <c r="A28" s="14">
        <f t="shared" si="1"/>
        <v>24</v>
      </c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25">
        <f>SUM(CalculoPorPeriodo[[#This Row],[Jan]:[Dez]])</f>
        <v>0</v>
      </c>
      <c r="R28" s="18"/>
      <c r="S28" s="25" t="str">
        <f t="shared" si="0"/>
        <v/>
      </c>
      <c r="T28" s="16"/>
    </row>
    <row r="29" spans="1:20" s="14" customFormat="1" ht="15">
      <c r="A29" s="14">
        <f t="shared" si="1"/>
        <v>25</v>
      </c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25">
        <f>SUM(CalculoPorPeriodo[[#This Row],[Jan]:[Dez]])</f>
        <v>0</v>
      </c>
      <c r="R29" s="18"/>
      <c r="S29" s="25" t="str">
        <f t="shared" si="0"/>
        <v/>
      </c>
      <c r="T29" s="16"/>
    </row>
    <row r="30" spans="1:20" s="14" customFormat="1" ht="15">
      <c r="A30" s="14">
        <f t="shared" si="1"/>
        <v>26</v>
      </c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25">
        <f>SUM(CalculoPorPeriodo[[#This Row],[Jan]:[Dez]])</f>
        <v>0</v>
      </c>
      <c r="R30" s="18"/>
      <c r="S30" s="25" t="str">
        <f t="shared" si="0"/>
        <v/>
      </c>
      <c r="T30" s="16"/>
    </row>
    <row r="31" spans="1:20" s="14" customFormat="1" ht="15">
      <c r="A31" s="14">
        <f t="shared" si="1"/>
        <v>27</v>
      </c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25">
        <f>SUM(CalculoPorPeriodo[[#This Row],[Jan]:[Dez]])</f>
        <v>0</v>
      </c>
      <c r="R31" s="18"/>
      <c r="S31" s="25" t="str">
        <f t="shared" si="0"/>
        <v/>
      </c>
      <c r="T31" s="16"/>
    </row>
    <row r="32" spans="1:20" s="14" customFormat="1" ht="15">
      <c r="A32" s="14">
        <f t="shared" si="1"/>
        <v>28</v>
      </c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25">
        <f>SUM(CalculoPorPeriodo[[#This Row],[Jan]:[Dez]])</f>
        <v>0</v>
      </c>
      <c r="R32" s="18"/>
      <c r="S32" s="25" t="str">
        <f t="shared" si="0"/>
        <v/>
      </c>
      <c r="T32" s="16"/>
    </row>
    <row r="33" spans="1:20" s="14" customFormat="1" ht="15">
      <c r="A33" s="14">
        <f t="shared" si="1"/>
        <v>29</v>
      </c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25">
        <f>SUM(CalculoPorPeriodo[[#This Row],[Jan]:[Dez]])</f>
        <v>0</v>
      </c>
      <c r="R33" s="18"/>
      <c r="S33" s="25" t="str">
        <f t="shared" si="0"/>
        <v/>
      </c>
      <c r="T33" s="16"/>
    </row>
    <row r="34" spans="1:20" s="14" customFormat="1" ht="15">
      <c r="A34" s="14">
        <f t="shared" si="1"/>
        <v>30</v>
      </c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25">
        <f>SUM(CalculoPorPeriodo[[#This Row],[Jan]:[Dez]])</f>
        <v>0</v>
      </c>
      <c r="R34" s="18"/>
      <c r="S34" s="25" t="str">
        <f t="shared" si="0"/>
        <v/>
      </c>
      <c r="T34" s="16"/>
    </row>
    <row r="35" spans="1:20" s="14" customFormat="1" ht="15">
      <c r="A35" s="14">
        <f t="shared" si="1"/>
        <v>31</v>
      </c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25">
        <f>SUM(CalculoPorPeriodo[[#This Row],[Jan]:[Dez]])</f>
        <v>0</v>
      </c>
      <c r="R35" s="18"/>
      <c r="S35" s="25" t="str">
        <f t="shared" si="0"/>
        <v/>
      </c>
      <c r="T35" s="16"/>
    </row>
    <row r="36" spans="1:20" s="14" customFormat="1" ht="15">
      <c r="A36" s="14">
        <f t="shared" si="1"/>
        <v>32</v>
      </c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25">
        <f>SUM(CalculoPorPeriodo[[#This Row],[Jan]:[Dez]])</f>
        <v>0</v>
      </c>
      <c r="R36" s="18"/>
      <c r="S36" s="25" t="str">
        <f t="shared" si="0"/>
        <v/>
      </c>
      <c r="T36" s="16"/>
    </row>
    <row r="37" spans="1:20" s="14" customFormat="1" ht="15">
      <c r="A37" s="14">
        <f t="shared" si="1"/>
        <v>33</v>
      </c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25">
        <f>SUM(CalculoPorPeriodo[[#This Row],[Jan]:[Dez]])</f>
        <v>0</v>
      </c>
      <c r="R37" s="18"/>
      <c r="S37" s="25" t="str">
        <f t="shared" ref="S37:S68" si="2">IF(AND(Q37&lt;&gt;"",R37&lt;&gt;""),Q37/R37,"")</f>
        <v/>
      </c>
      <c r="T37" s="16"/>
    </row>
    <row r="38" spans="1:20" s="14" customFormat="1" ht="15">
      <c r="A38" s="14">
        <f t="shared" si="1"/>
        <v>34</v>
      </c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25">
        <f>SUM(CalculoPorPeriodo[[#This Row],[Jan]:[Dez]])</f>
        <v>0</v>
      </c>
      <c r="R38" s="18"/>
      <c r="S38" s="25" t="str">
        <f t="shared" si="2"/>
        <v/>
      </c>
      <c r="T38" s="16"/>
    </row>
    <row r="39" spans="1:20" s="14" customFormat="1" ht="15">
      <c r="A39" s="14">
        <f t="shared" si="1"/>
        <v>35</v>
      </c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25">
        <f>SUM(CalculoPorPeriodo[[#This Row],[Jan]:[Dez]])</f>
        <v>0</v>
      </c>
      <c r="R39" s="18"/>
      <c r="S39" s="25" t="str">
        <f t="shared" si="2"/>
        <v/>
      </c>
      <c r="T39" s="16"/>
    </row>
    <row r="40" spans="1:20" s="14" customFormat="1" ht="15">
      <c r="A40" s="14">
        <f t="shared" si="1"/>
        <v>36</v>
      </c>
      <c r="D40" s="16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25">
        <f>SUM(CalculoPorPeriodo[[#This Row],[Jan]:[Dez]])</f>
        <v>0</v>
      </c>
      <c r="R40" s="18"/>
      <c r="S40" s="25" t="str">
        <f t="shared" si="2"/>
        <v/>
      </c>
      <c r="T40" s="16"/>
    </row>
    <row r="41" spans="1:20" s="14" customFormat="1" ht="15">
      <c r="A41" s="14">
        <f t="shared" si="1"/>
        <v>37</v>
      </c>
      <c r="D41" s="16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25">
        <f>SUM(CalculoPorPeriodo[[#This Row],[Jan]:[Dez]])</f>
        <v>0</v>
      </c>
      <c r="R41" s="18"/>
      <c r="S41" s="25" t="str">
        <f t="shared" si="2"/>
        <v/>
      </c>
      <c r="T41" s="16"/>
    </row>
    <row r="42" spans="1:20" s="14" customFormat="1" ht="15">
      <c r="A42" s="14">
        <f t="shared" si="1"/>
        <v>38</v>
      </c>
      <c r="D42" s="16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25">
        <f>SUM(CalculoPorPeriodo[[#This Row],[Jan]:[Dez]])</f>
        <v>0</v>
      </c>
      <c r="R42" s="18"/>
      <c r="S42" s="25" t="str">
        <f t="shared" si="2"/>
        <v/>
      </c>
      <c r="T42" s="16"/>
    </row>
    <row r="43" spans="1:20" s="14" customFormat="1" ht="15">
      <c r="A43" s="14">
        <f t="shared" si="1"/>
        <v>39</v>
      </c>
      <c r="D43" s="16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25">
        <f>SUM(CalculoPorPeriodo[[#This Row],[Jan]:[Dez]])</f>
        <v>0</v>
      </c>
      <c r="R43" s="18"/>
      <c r="S43" s="25" t="str">
        <f t="shared" si="2"/>
        <v/>
      </c>
      <c r="T43" s="16"/>
    </row>
    <row r="44" spans="1:20" s="14" customFormat="1" ht="15">
      <c r="A44" s="14">
        <f t="shared" si="1"/>
        <v>40</v>
      </c>
      <c r="D44" s="16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25">
        <f>SUM(CalculoPorPeriodo[[#This Row],[Jan]:[Dez]])</f>
        <v>0</v>
      </c>
      <c r="R44" s="18"/>
      <c r="S44" s="25" t="str">
        <f t="shared" si="2"/>
        <v/>
      </c>
      <c r="T44" s="16"/>
    </row>
    <row r="45" spans="1:20" s="14" customFormat="1" ht="15">
      <c r="A45" s="14">
        <f t="shared" si="1"/>
        <v>41</v>
      </c>
      <c r="D45" s="16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25">
        <f>SUM(CalculoPorPeriodo[[#This Row],[Jan]:[Dez]])</f>
        <v>0</v>
      </c>
      <c r="R45" s="18"/>
      <c r="S45" s="25" t="str">
        <f t="shared" si="2"/>
        <v/>
      </c>
      <c r="T45" s="16"/>
    </row>
    <row r="46" spans="1:20" s="14" customFormat="1" ht="15">
      <c r="A46" s="14">
        <f t="shared" si="1"/>
        <v>42</v>
      </c>
      <c r="D46" s="16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25">
        <f>SUM(CalculoPorPeriodo[[#This Row],[Jan]:[Dez]])</f>
        <v>0</v>
      </c>
      <c r="R46" s="18"/>
      <c r="S46" s="25" t="str">
        <f t="shared" si="2"/>
        <v/>
      </c>
      <c r="T46" s="16"/>
    </row>
    <row r="47" spans="1:20" s="14" customFormat="1" ht="15">
      <c r="A47" s="14">
        <f t="shared" si="1"/>
        <v>43</v>
      </c>
      <c r="D47" s="16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25">
        <f>SUM(CalculoPorPeriodo[[#This Row],[Jan]:[Dez]])</f>
        <v>0</v>
      </c>
      <c r="R47" s="18"/>
      <c r="S47" s="25" t="str">
        <f t="shared" si="2"/>
        <v/>
      </c>
      <c r="T47" s="16"/>
    </row>
    <row r="48" spans="1:20" s="14" customFormat="1" ht="15">
      <c r="A48" s="14">
        <f t="shared" si="1"/>
        <v>44</v>
      </c>
      <c r="D48" s="16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25">
        <f>SUM(CalculoPorPeriodo[[#This Row],[Jan]:[Dez]])</f>
        <v>0</v>
      </c>
      <c r="R48" s="18"/>
      <c r="S48" s="25" t="str">
        <f t="shared" si="2"/>
        <v/>
      </c>
      <c r="T48" s="16"/>
    </row>
    <row r="49" spans="1:20" s="14" customFormat="1" ht="15">
      <c r="A49" s="14">
        <f t="shared" si="1"/>
        <v>45</v>
      </c>
      <c r="D49" s="16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25">
        <f>SUM(CalculoPorPeriodo[[#This Row],[Jan]:[Dez]])</f>
        <v>0</v>
      </c>
      <c r="R49" s="18"/>
      <c r="S49" s="25" t="str">
        <f t="shared" si="2"/>
        <v/>
      </c>
      <c r="T49" s="16"/>
    </row>
    <row r="50" spans="1:20" s="14" customFormat="1" ht="15">
      <c r="A50" s="14">
        <f t="shared" si="1"/>
        <v>46</v>
      </c>
      <c r="D50" s="16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25">
        <f>SUM(CalculoPorPeriodo[[#This Row],[Jan]:[Dez]])</f>
        <v>0</v>
      </c>
      <c r="R50" s="18"/>
      <c r="S50" s="25" t="str">
        <f t="shared" si="2"/>
        <v/>
      </c>
      <c r="T50" s="16"/>
    </row>
    <row r="51" spans="1:20" s="14" customFormat="1" ht="15">
      <c r="A51" s="14">
        <f t="shared" si="1"/>
        <v>47</v>
      </c>
      <c r="D51" s="16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25">
        <f>SUM(CalculoPorPeriodo[[#This Row],[Jan]:[Dez]])</f>
        <v>0</v>
      </c>
      <c r="R51" s="18"/>
      <c r="S51" s="25" t="str">
        <f t="shared" si="2"/>
        <v/>
      </c>
      <c r="T51" s="16"/>
    </row>
    <row r="52" spans="1:20" s="14" customFormat="1" ht="15">
      <c r="A52" s="14">
        <f t="shared" si="1"/>
        <v>48</v>
      </c>
      <c r="D52" s="16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25">
        <f>SUM(CalculoPorPeriodo[[#This Row],[Jan]:[Dez]])</f>
        <v>0</v>
      </c>
      <c r="R52" s="18"/>
      <c r="S52" s="25" t="str">
        <f t="shared" si="2"/>
        <v/>
      </c>
      <c r="T52" s="16"/>
    </row>
    <row r="53" spans="1:20" s="14" customFormat="1" ht="15">
      <c r="A53" s="14">
        <f t="shared" si="1"/>
        <v>49</v>
      </c>
      <c r="D53" s="16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25">
        <f>SUM(CalculoPorPeriodo[[#This Row],[Jan]:[Dez]])</f>
        <v>0</v>
      </c>
      <c r="R53" s="18"/>
      <c r="S53" s="25" t="str">
        <f t="shared" si="2"/>
        <v/>
      </c>
      <c r="T53" s="16"/>
    </row>
    <row r="54" spans="1:20" s="14" customFormat="1" ht="15">
      <c r="A54" s="14">
        <f t="shared" si="1"/>
        <v>50</v>
      </c>
      <c r="D54" s="16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25">
        <f>SUM(CalculoPorPeriodo[[#This Row],[Jan]:[Dez]])</f>
        <v>0</v>
      </c>
      <c r="R54" s="18"/>
      <c r="S54" s="25" t="str">
        <f t="shared" si="2"/>
        <v/>
      </c>
      <c r="T54" s="16"/>
    </row>
    <row r="55" spans="1:20" s="14" customFormat="1" ht="15">
      <c r="A55" s="14">
        <f t="shared" si="1"/>
        <v>51</v>
      </c>
      <c r="D55" s="16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25">
        <f>SUM(CalculoPorPeriodo[[#This Row],[Jan]:[Dez]])</f>
        <v>0</v>
      </c>
      <c r="R55" s="18"/>
      <c r="S55" s="25" t="str">
        <f t="shared" si="2"/>
        <v/>
      </c>
      <c r="T55" s="16"/>
    </row>
    <row r="56" spans="1:20" s="14" customFormat="1" ht="15">
      <c r="A56" s="14">
        <f t="shared" si="1"/>
        <v>52</v>
      </c>
      <c r="D56" s="16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25">
        <f>SUM(CalculoPorPeriodo[[#This Row],[Jan]:[Dez]])</f>
        <v>0</v>
      </c>
      <c r="R56" s="18"/>
      <c r="S56" s="25" t="str">
        <f t="shared" si="2"/>
        <v/>
      </c>
      <c r="T56" s="16"/>
    </row>
    <row r="57" spans="1:20" s="14" customFormat="1" ht="15">
      <c r="A57" s="14">
        <f t="shared" si="1"/>
        <v>53</v>
      </c>
      <c r="D57" s="16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25">
        <f>SUM(CalculoPorPeriodo[[#This Row],[Jan]:[Dez]])</f>
        <v>0</v>
      </c>
      <c r="R57" s="18"/>
      <c r="S57" s="25" t="str">
        <f t="shared" si="2"/>
        <v/>
      </c>
      <c r="T57" s="16"/>
    </row>
    <row r="58" spans="1:20" s="14" customFormat="1" ht="15">
      <c r="A58" s="14">
        <f t="shared" si="1"/>
        <v>54</v>
      </c>
      <c r="D58" s="16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25">
        <f>SUM(CalculoPorPeriodo[[#This Row],[Jan]:[Dez]])</f>
        <v>0</v>
      </c>
      <c r="R58" s="18"/>
      <c r="S58" s="25" t="str">
        <f t="shared" si="2"/>
        <v/>
      </c>
      <c r="T58" s="16"/>
    </row>
    <row r="59" spans="1:20" s="14" customFormat="1" ht="15">
      <c r="A59" s="14">
        <f t="shared" si="1"/>
        <v>55</v>
      </c>
      <c r="D59" s="16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25">
        <f>SUM(CalculoPorPeriodo[[#This Row],[Jan]:[Dez]])</f>
        <v>0</v>
      </c>
      <c r="R59" s="18"/>
      <c r="S59" s="25" t="str">
        <f t="shared" si="2"/>
        <v/>
      </c>
      <c r="T59" s="16"/>
    </row>
    <row r="60" spans="1:20" s="14" customFormat="1" ht="15">
      <c r="A60" s="14">
        <f t="shared" si="1"/>
        <v>56</v>
      </c>
      <c r="D60" s="16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25">
        <f>SUM(CalculoPorPeriodo[[#This Row],[Jan]:[Dez]])</f>
        <v>0</v>
      </c>
      <c r="R60" s="18"/>
      <c r="S60" s="25" t="str">
        <f t="shared" si="2"/>
        <v/>
      </c>
      <c r="T60" s="16"/>
    </row>
    <row r="61" spans="1:20" s="14" customFormat="1" ht="15">
      <c r="A61" s="14">
        <f t="shared" si="1"/>
        <v>57</v>
      </c>
      <c r="D61" s="16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25">
        <f>SUM(CalculoPorPeriodo[[#This Row],[Jan]:[Dez]])</f>
        <v>0</v>
      </c>
      <c r="R61" s="18"/>
      <c r="S61" s="25" t="str">
        <f t="shared" si="2"/>
        <v/>
      </c>
      <c r="T61" s="16"/>
    </row>
    <row r="62" spans="1:20" s="14" customFormat="1" ht="15">
      <c r="A62" s="14">
        <f t="shared" si="1"/>
        <v>58</v>
      </c>
      <c r="D62" s="16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25">
        <f>SUM(CalculoPorPeriodo[[#This Row],[Jan]:[Dez]])</f>
        <v>0</v>
      </c>
      <c r="R62" s="18"/>
      <c r="S62" s="25" t="str">
        <f t="shared" si="2"/>
        <v/>
      </c>
      <c r="T62" s="16"/>
    </row>
    <row r="63" spans="1:20" s="14" customFormat="1" ht="15">
      <c r="A63" s="14">
        <f t="shared" si="1"/>
        <v>59</v>
      </c>
      <c r="D63" s="16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25">
        <f>SUM(CalculoPorPeriodo[[#This Row],[Jan]:[Dez]])</f>
        <v>0</v>
      </c>
      <c r="R63" s="18"/>
      <c r="S63" s="25" t="str">
        <f t="shared" si="2"/>
        <v/>
      </c>
      <c r="T63" s="16"/>
    </row>
    <row r="64" spans="1:20" s="14" customFormat="1" ht="15">
      <c r="A64" s="14">
        <f t="shared" si="1"/>
        <v>60</v>
      </c>
      <c r="D64" s="16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25">
        <f>SUM(CalculoPorPeriodo[[#This Row],[Jan]:[Dez]])</f>
        <v>0</v>
      </c>
      <c r="R64" s="18"/>
      <c r="S64" s="25" t="str">
        <f t="shared" si="2"/>
        <v/>
      </c>
      <c r="T64" s="16"/>
    </row>
    <row r="65" spans="1:20" s="14" customFormat="1" ht="15">
      <c r="A65" s="14">
        <f t="shared" si="1"/>
        <v>61</v>
      </c>
      <c r="D65" s="16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25">
        <f>SUM(CalculoPorPeriodo[[#This Row],[Jan]:[Dez]])</f>
        <v>0</v>
      </c>
      <c r="R65" s="18"/>
      <c r="S65" s="25" t="str">
        <f t="shared" si="2"/>
        <v/>
      </c>
      <c r="T65" s="16"/>
    </row>
    <row r="66" spans="1:20" s="14" customFormat="1" ht="15">
      <c r="A66" s="14">
        <f t="shared" si="1"/>
        <v>62</v>
      </c>
      <c r="D66" s="16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25">
        <f>SUM(CalculoPorPeriodo[[#This Row],[Jan]:[Dez]])</f>
        <v>0</v>
      </c>
      <c r="R66" s="18"/>
      <c r="S66" s="25" t="str">
        <f t="shared" si="2"/>
        <v/>
      </c>
      <c r="T66" s="16"/>
    </row>
    <row r="67" spans="1:20" s="14" customFormat="1" ht="15">
      <c r="A67" s="14">
        <f t="shared" si="1"/>
        <v>63</v>
      </c>
      <c r="D67" s="16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25">
        <f>SUM(CalculoPorPeriodo[[#This Row],[Jan]:[Dez]])</f>
        <v>0</v>
      </c>
      <c r="R67" s="18"/>
      <c r="S67" s="25" t="str">
        <f t="shared" si="2"/>
        <v/>
      </c>
      <c r="T67" s="16"/>
    </row>
    <row r="68" spans="1:20" s="14" customFormat="1" ht="15">
      <c r="A68" s="14">
        <f t="shared" si="1"/>
        <v>64</v>
      </c>
      <c r="D68" s="16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25">
        <f>SUM(CalculoPorPeriodo[[#This Row],[Jan]:[Dez]])</f>
        <v>0</v>
      </c>
      <c r="R68" s="18"/>
      <c r="S68" s="25" t="str">
        <f t="shared" si="2"/>
        <v/>
      </c>
      <c r="T68" s="16"/>
    </row>
    <row r="69" spans="1:20" s="14" customFormat="1" ht="15">
      <c r="A69" s="14">
        <f t="shared" si="1"/>
        <v>65</v>
      </c>
      <c r="D69" s="16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25">
        <f>SUM(CalculoPorPeriodo[[#This Row],[Jan]:[Dez]])</f>
        <v>0</v>
      </c>
      <c r="R69" s="18"/>
      <c r="S69" s="25" t="str">
        <f t="shared" ref="S69:S100" si="3">IF(AND(Q69&lt;&gt;"",R69&lt;&gt;""),Q69/R69,"")</f>
        <v/>
      </c>
      <c r="T69" s="16"/>
    </row>
    <row r="70" spans="1:20" s="14" customFormat="1" ht="15">
      <c r="A70" s="14">
        <f t="shared" si="1"/>
        <v>66</v>
      </c>
      <c r="D70" s="16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25">
        <f>SUM(CalculoPorPeriodo[[#This Row],[Jan]:[Dez]])</f>
        <v>0</v>
      </c>
      <c r="R70" s="18"/>
      <c r="S70" s="25" t="str">
        <f t="shared" si="3"/>
        <v/>
      </c>
      <c r="T70" s="16"/>
    </row>
    <row r="71" spans="1:20" s="14" customFormat="1" ht="15">
      <c r="A71" s="14">
        <f t="shared" ref="A71:A134" si="4">A70+1</f>
        <v>67</v>
      </c>
      <c r="D71" s="16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25">
        <f>SUM(CalculoPorPeriodo[[#This Row],[Jan]:[Dez]])</f>
        <v>0</v>
      </c>
      <c r="R71" s="18"/>
      <c r="S71" s="25" t="str">
        <f t="shared" si="3"/>
        <v/>
      </c>
      <c r="T71" s="16"/>
    </row>
    <row r="72" spans="1:20" s="14" customFormat="1" ht="15">
      <c r="A72" s="14">
        <f t="shared" si="4"/>
        <v>68</v>
      </c>
      <c r="D72" s="16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25">
        <f>SUM(CalculoPorPeriodo[[#This Row],[Jan]:[Dez]])</f>
        <v>0</v>
      </c>
      <c r="R72" s="18"/>
      <c r="S72" s="25" t="str">
        <f t="shared" si="3"/>
        <v/>
      </c>
      <c r="T72" s="16"/>
    </row>
    <row r="73" spans="1:20" s="14" customFormat="1" ht="15">
      <c r="A73" s="14">
        <f t="shared" si="4"/>
        <v>69</v>
      </c>
      <c r="D73" s="16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25">
        <f>SUM(CalculoPorPeriodo[[#This Row],[Jan]:[Dez]])</f>
        <v>0</v>
      </c>
      <c r="R73" s="18"/>
      <c r="S73" s="25" t="str">
        <f t="shared" si="3"/>
        <v/>
      </c>
      <c r="T73" s="16"/>
    </row>
    <row r="74" spans="1:20" s="14" customFormat="1" ht="15">
      <c r="A74" s="14">
        <f t="shared" si="4"/>
        <v>70</v>
      </c>
      <c r="D74" s="16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25">
        <f>SUM(CalculoPorPeriodo[[#This Row],[Jan]:[Dez]])</f>
        <v>0</v>
      </c>
      <c r="R74" s="18"/>
      <c r="S74" s="25" t="str">
        <f t="shared" si="3"/>
        <v/>
      </c>
      <c r="T74" s="16"/>
    </row>
    <row r="75" spans="1:20" s="14" customFormat="1" ht="15">
      <c r="A75" s="14">
        <f t="shared" si="4"/>
        <v>71</v>
      </c>
      <c r="D75" s="16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25">
        <f>SUM(CalculoPorPeriodo[[#This Row],[Jan]:[Dez]])</f>
        <v>0</v>
      </c>
      <c r="R75" s="18"/>
      <c r="S75" s="25" t="str">
        <f t="shared" si="3"/>
        <v/>
      </c>
      <c r="T75" s="16"/>
    </row>
    <row r="76" spans="1:20" s="14" customFormat="1" ht="15">
      <c r="A76" s="14">
        <f t="shared" si="4"/>
        <v>72</v>
      </c>
      <c r="D76" s="16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25">
        <f>SUM(CalculoPorPeriodo[[#This Row],[Jan]:[Dez]])</f>
        <v>0</v>
      </c>
      <c r="R76" s="18"/>
      <c r="S76" s="25" t="str">
        <f t="shared" si="3"/>
        <v/>
      </c>
      <c r="T76" s="16"/>
    </row>
    <row r="77" spans="1:20" s="14" customFormat="1" ht="15">
      <c r="A77" s="14">
        <f t="shared" si="4"/>
        <v>73</v>
      </c>
      <c r="D77" s="16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25">
        <f>SUM(CalculoPorPeriodo[[#This Row],[Jan]:[Dez]])</f>
        <v>0</v>
      </c>
      <c r="R77" s="18"/>
      <c r="S77" s="25" t="str">
        <f t="shared" si="3"/>
        <v/>
      </c>
      <c r="T77" s="16"/>
    </row>
    <row r="78" spans="1:20" s="14" customFormat="1" ht="15">
      <c r="A78" s="14">
        <f t="shared" si="4"/>
        <v>74</v>
      </c>
      <c r="D78" s="16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25">
        <f>SUM(CalculoPorPeriodo[[#This Row],[Jan]:[Dez]])</f>
        <v>0</v>
      </c>
      <c r="R78" s="18"/>
      <c r="S78" s="25" t="str">
        <f t="shared" si="3"/>
        <v/>
      </c>
      <c r="T78" s="16"/>
    </row>
    <row r="79" spans="1:20" s="14" customFormat="1" ht="15">
      <c r="A79" s="14">
        <f t="shared" si="4"/>
        <v>75</v>
      </c>
      <c r="D79" s="1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25">
        <f>SUM(CalculoPorPeriodo[[#This Row],[Jan]:[Dez]])</f>
        <v>0</v>
      </c>
      <c r="R79" s="18"/>
      <c r="S79" s="25" t="str">
        <f t="shared" si="3"/>
        <v/>
      </c>
      <c r="T79" s="16"/>
    </row>
    <row r="80" spans="1:20" s="14" customFormat="1" ht="15">
      <c r="A80" s="14">
        <f t="shared" si="4"/>
        <v>76</v>
      </c>
      <c r="D80" s="16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25">
        <f>SUM(CalculoPorPeriodo[[#This Row],[Jan]:[Dez]])</f>
        <v>0</v>
      </c>
      <c r="R80" s="18"/>
      <c r="S80" s="25" t="str">
        <f t="shared" si="3"/>
        <v/>
      </c>
      <c r="T80" s="16"/>
    </row>
    <row r="81" spans="1:20" s="14" customFormat="1" ht="15">
      <c r="A81" s="14">
        <f t="shared" si="4"/>
        <v>77</v>
      </c>
      <c r="D81" s="16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25">
        <f>SUM(CalculoPorPeriodo[[#This Row],[Jan]:[Dez]])</f>
        <v>0</v>
      </c>
      <c r="R81" s="18"/>
      <c r="S81" s="25" t="str">
        <f t="shared" si="3"/>
        <v/>
      </c>
      <c r="T81" s="16"/>
    </row>
    <row r="82" spans="1:20" s="14" customFormat="1" ht="15">
      <c r="A82" s="14">
        <f t="shared" si="4"/>
        <v>78</v>
      </c>
      <c r="D82" s="16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25">
        <f>SUM(CalculoPorPeriodo[[#This Row],[Jan]:[Dez]])</f>
        <v>0</v>
      </c>
      <c r="R82" s="18"/>
      <c r="S82" s="25" t="str">
        <f t="shared" si="3"/>
        <v/>
      </c>
      <c r="T82" s="16"/>
    </row>
    <row r="83" spans="1:20" s="14" customFormat="1" ht="15">
      <c r="A83" s="14">
        <f t="shared" si="4"/>
        <v>79</v>
      </c>
      <c r="D83" s="16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25">
        <f>SUM(CalculoPorPeriodo[[#This Row],[Jan]:[Dez]])</f>
        <v>0</v>
      </c>
      <c r="R83" s="18"/>
      <c r="S83" s="25" t="str">
        <f t="shared" si="3"/>
        <v/>
      </c>
      <c r="T83" s="16"/>
    </row>
    <row r="84" spans="1:20" s="14" customFormat="1" ht="15">
      <c r="A84" s="14">
        <f t="shared" si="4"/>
        <v>80</v>
      </c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25">
        <f>SUM(CalculoPorPeriodo[[#This Row],[Jan]:[Dez]])</f>
        <v>0</v>
      </c>
      <c r="R84" s="18"/>
      <c r="S84" s="25" t="str">
        <f t="shared" si="3"/>
        <v/>
      </c>
      <c r="T84" s="16"/>
    </row>
    <row r="85" spans="1:20" s="14" customFormat="1" ht="15">
      <c r="A85" s="14">
        <f t="shared" si="4"/>
        <v>81</v>
      </c>
      <c r="D85" s="16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25">
        <f>SUM(CalculoPorPeriodo[[#This Row],[Jan]:[Dez]])</f>
        <v>0</v>
      </c>
      <c r="R85" s="18"/>
      <c r="S85" s="25" t="str">
        <f t="shared" si="3"/>
        <v/>
      </c>
      <c r="T85" s="16"/>
    </row>
    <row r="86" spans="1:20" s="14" customFormat="1" ht="15">
      <c r="A86" s="14">
        <f t="shared" si="4"/>
        <v>82</v>
      </c>
      <c r="D86" s="16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25">
        <f>SUM(CalculoPorPeriodo[[#This Row],[Jan]:[Dez]])</f>
        <v>0</v>
      </c>
      <c r="R86" s="18"/>
      <c r="S86" s="25" t="str">
        <f t="shared" si="3"/>
        <v/>
      </c>
      <c r="T86" s="16"/>
    </row>
    <row r="87" spans="1:20" s="14" customFormat="1" ht="15">
      <c r="A87" s="14">
        <f t="shared" si="4"/>
        <v>83</v>
      </c>
      <c r="D87" s="16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25">
        <f>SUM(CalculoPorPeriodo[[#This Row],[Jan]:[Dez]])</f>
        <v>0</v>
      </c>
      <c r="R87" s="18"/>
      <c r="S87" s="25" t="str">
        <f t="shared" si="3"/>
        <v/>
      </c>
      <c r="T87" s="16"/>
    </row>
    <row r="88" spans="1:20" s="14" customFormat="1" ht="15">
      <c r="A88" s="14">
        <f t="shared" si="4"/>
        <v>84</v>
      </c>
      <c r="D88" s="16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25">
        <f>SUM(CalculoPorPeriodo[[#This Row],[Jan]:[Dez]])</f>
        <v>0</v>
      </c>
      <c r="R88" s="18"/>
      <c r="S88" s="25" t="str">
        <f t="shared" si="3"/>
        <v/>
      </c>
      <c r="T88" s="16"/>
    </row>
    <row r="89" spans="1:20" s="14" customFormat="1" ht="15">
      <c r="A89" s="14">
        <f t="shared" si="4"/>
        <v>85</v>
      </c>
      <c r="D89" s="16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25">
        <f>SUM(CalculoPorPeriodo[[#This Row],[Jan]:[Dez]])</f>
        <v>0</v>
      </c>
      <c r="R89" s="18"/>
      <c r="S89" s="25" t="str">
        <f t="shared" si="3"/>
        <v/>
      </c>
      <c r="T89" s="16"/>
    </row>
    <row r="90" spans="1:20" s="14" customFormat="1" ht="15">
      <c r="A90" s="14">
        <f t="shared" si="4"/>
        <v>86</v>
      </c>
      <c r="D90" s="16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25">
        <f>SUM(CalculoPorPeriodo[[#This Row],[Jan]:[Dez]])</f>
        <v>0</v>
      </c>
      <c r="R90" s="18"/>
      <c r="S90" s="25" t="str">
        <f t="shared" si="3"/>
        <v/>
      </c>
      <c r="T90" s="16"/>
    </row>
    <row r="91" spans="1:20" s="14" customFormat="1" ht="15">
      <c r="A91" s="14">
        <f t="shared" si="4"/>
        <v>87</v>
      </c>
      <c r="D91" s="16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25">
        <f>SUM(CalculoPorPeriodo[[#This Row],[Jan]:[Dez]])</f>
        <v>0</v>
      </c>
      <c r="R91" s="18"/>
      <c r="S91" s="25" t="str">
        <f t="shared" si="3"/>
        <v/>
      </c>
      <c r="T91" s="16"/>
    </row>
    <row r="92" spans="1:20" s="14" customFormat="1" ht="15">
      <c r="A92" s="14">
        <f t="shared" si="4"/>
        <v>88</v>
      </c>
      <c r="D92" s="16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25">
        <f>SUM(CalculoPorPeriodo[[#This Row],[Jan]:[Dez]])</f>
        <v>0</v>
      </c>
      <c r="R92" s="18"/>
      <c r="S92" s="25" t="str">
        <f t="shared" si="3"/>
        <v/>
      </c>
      <c r="T92" s="16"/>
    </row>
    <row r="93" spans="1:20" s="14" customFormat="1" ht="15">
      <c r="A93" s="14">
        <f t="shared" si="4"/>
        <v>89</v>
      </c>
      <c r="D93" s="16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25">
        <f>SUM(CalculoPorPeriodo[[#This Row],[Jan]:[Dez]])</f>
        <v>0</v>
      </c>
      <c r="R93" s="18"/>
      <c r="S93" s="25" t="str">
        <f t="shared" si="3"/>
        <v/>
      </c>
      <c r="T93" s="16"/>
    </row>
    <row r="94" spans="1:20" s="14" customFormat="1" ht="15">
      <c r="A94" s="14">
        <f t="shared" si="4"/>
        <v>90</v>
      </c>
      <c r="D94" s="16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25">
        <f>SUM(CalculoPorPeriodo[[#This Row],[Jan]:[Dez]])</f>
        <v>0</v>
      </c>
      <c r="R94" s="18"/>
      <c r="S94" s="25" t="str">
        <f t="shared" si="3"/>
        <v/>
      </c>
      <c r="T94" s="16"/>
    </row>
    <row r="95" spans="1:20" s="14" customFormat="1" ht="15">
      <c r="A95" s="14">
        <f t="shared" si="4"/>
        <v>91</v>
      </c>
      <c r="D95" s="16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25">
        <f>SUM(CalculoPorPeriodo[[#This Row],[Jan]:[Dez]])</f>
        <v>0</v>
      </c>
      <c r="R95" s="18"/>
      <c r="S95" s="25" t="str">
        <f t="shared" si="3"/>
        <v/>
      </c>
      <c r="T95" s="16"/>
    </row>
    <row r="96" spans="1:20" s="14" customFormat="1" ht="15">
      <c r="A96" s="14">
        <f t="shared" si="4"/>
        <v>92</v>
      </c>
      <c r="D96" s="16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25">
        <f>SUM(CalculoPorPeriodo[[#This Row],[Jan]:[Dez]])</f>
        <v>0</v>
      </c>
      <c r="R96" s="18"/>
      <c r="S96" s="25" t="str">
        <f t="shared" si="3"/>
        <v/>
      </c>
      <c r="T96" s="16"/>
    </row>
    <row r="97" spans="1:20" s="14" customFormat="1" ht="15">
      <c r="A97" s="14">
        <f t="shared" si="4"/>
        <v>93</v>
      </c>
      <c r="D97" s="16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25">
        <f>SUM(CalculoPorPeriodo[[#This Row],[Jan]:[Dez]])</f>
        <v>0</v>
      </c>
      <c r="R97" s="18"/>
      <c r="S97" s="25" t="str">
        <f t="shared" si="3"/>
        <v/>
      </c>
      <c r="T97" s="16"/>
    </row>
    <row r="98" spans="1:20" s="14" customFormat="1" ht="15">
      <c r="A98" s="14">
        <f t="shared" si="4"/>
        <v>94</v>
      </c>
      <c r="D98" s="16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25">
        <f>SUM(CalculoPorPeriodo[[#This Row],[Jan]:[Dez]])</f>
        <v>0</v>
      </c>
      <c r="R98" s="18"/>
      <c r="S98" s="25" t="str">
        <f t="shared" si="3"/>
        <v/>
      </c>
      <c r="T98" s="16"/>
    </row>
    <row r="99" spans="1:20" s="14" customFormat="1" ht="15">
      <c r="A99" s="14">
        <f t="shared" si="4"/>
        <v>95</v>
      </c>
      <c r="D99" s="16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25">
        <f>SUM(CalculoPorPeriodo[[#This Row],[Jan]:[Dez]])</f>
        <v>0</v>
      </c>
      <c r="R99" s="18"/>
      <c r="S99" s="25" t="str">
        <f t="shared" si="3"/>
        <v/>
      </c>
      <c r="T99" s="16"/>
    </row>
    <row r="100" spans="1:20" s="14" customFormat="1" ht="15">
      <c r="A100" s="14">
        <f t="shared" si="4"/>
        <v>96</v>
      </c>
      <c r="D100" s="16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25">
        <f>SUM(CalculoPorPeriodo[[#This Row],[Jan]:[Dez]])</f>
        <v>0</v>
      </c>
      <c r="R100" s="18"/>
      <c r="S100" s="25" t="str">
        <f t="shared" si="3"/>
        <v/>
      </c>
      <c r="T100" s="16"/>
    </row>
    <row r="101" spans="1:20" s="14" customFormat="1" ht="15">
      <c r="A101" s="14">
        <f t="shared" si="4"/>
        <v>97</v>
      </c>
      <c r="D101" s="16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25">
        <f>SUM(CalculoPorPeriodo[[#This Row],[Jan]:[Dez]])</f>
        <v>0</v>
      </c>
      <c r="R101" s="18"/>
      <c r="S101" s="25" t="str">
        <f t="shared" ref="S101:S104" si="5">IF(AND(Q101&lt;&gt;"",R101&lt;&gt;""),Q101/R101,"")</f>
        <v/>
      </c>
      <c r="T101" s="16"/>
    </row>
    <row r="102" spans="1:20" s="14" customFormat="1" ht="15">
      <c r="A102" s="14">
        <f t="shared" si="4"/>
        <v>98</v>
      </c>
      <c r="D102" s="16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25">
        <f>SUM(CalculoPorPeriodo[[#This Row],[Jan]:[Dez]])</f>
        <v>0</v>
      </c>
      <c r="R102" s="18"/>
      <c r="S102" s="25" t="str">
        <f t="shared" si="5"/>
        <v/>
      </c>
      <c r="T102" s="16"/>
    </row>
    <row r="103" spans="1:20" s="14" customFormat="1" ht="15">
      <c r="A103" s="14">
        <f t="shared" si="4"/>
        <v>99</v>
      </c>
      <c r="D103" s="16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25">
        <f>SUM(CalculoPorPeriodo[[#This Row],[Jan]:[Dez]])</f>
        <v>0</v>
      </c>
      <c r="R103" s="18"/>
      <c r="S103" s="25" t="str">
        <f t="shared" si="5"/>
        <v/>
      </c>
      <c r="T103" s="16"/>
    </row>
    <row r="104" spans="1:20" s="14" customFormat="1" ht="15">
      <c r="A104" s="14">
        <f t="shared" si="4"/>
        <v>100</v>
      </c>
      <c r="D104" s="16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25">
        <f>SUM(CalculoPorPeriodo[[#This Row],[Jan]:[Dez]])</f>
        <v>0</v>
      </c>
      <c r="R104" s="18"/>
      <c r="S104" s="25" t="str">
        <f t="shared" si="5"/>
        <v/>
      </c>
      <c r="T104" s="16"/>
    </row>
    <row r="105" spans="1:20" s="14" customFormat="1" ht="15">
      <c r="A105" s="14">
        <f t="shared" si="4"/>
        <v>101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26">
        <f>SUM(CalculoPorPeriodo[[#This Row],[Jan]:[Dez]])</f>
        <v>0</v>
      </c>
      <c r="S105" s="27"/>
    </row>
    <row r="106" spans="1:20" s="14" customFormat="1" ht="15">
      <c r="A106" s="14">
        <f t="shared" si="4"/>
        <v>102</v>
      </c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6">
        <f>SUM(CalculoPorPeriodo[[#This Row],[Jan]:[Dez]])</f>
        <v>0</v>
      </c>
      <c r="S106" s="27"/>
    </row>
    <row r="107" spans="1:20" s="14" customFormat="1" ht="15">
      <c r="A107" s="14">
        <f t="shared" si="4"/>
        <v>103</v>
      </c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6">
        <f>SUM(CalculoPorPeriodo[[#This Row],[Jan]:[Dez]])</f>
        <v>0</v>
      </c>
      <c r="S107" s="27"/>
    </row>
    <row r="108" spans="1:20" s="14" customFormat="1" ht="15">
      <c r="A108" s="14">
        <f t="shared" si="4"/>
        <v>104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6">
        <f>SUM(CalculoPorPeriodo[[#This Row],[Jan]:[Dez]])</f>
        <v>0</v>
      </c>
      <c r="S108" s="27"/>
    </row>
    <row r="109" spans="1:20" s="14" customFormat="1" ht="15">
      <c r="A109" s="14">
        <f t="shared" si="4"/>
        <v>105</v>
      </c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26">
        <f>SUM(CalculoPorPeriodo[[#This Row],[Jan]:[Dez]])</f>
        <v>0</v>
      </c>
      <c r="S109" s="27"/>
    </row>
    <row r="110" spans="1:20" s="14" customFormat="1" ht="15">
      <c r="A110" s="14">
        <f t="shared" si="4"/>
        <v>106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26">
        <f>SUM(CalculoPorPeriodo[[#This Row],[Jan]:[Dez]])</f>
        <v>0</v>
      </c>
      <c r="S110" s="27"/>
    </row>
    <row r="111" spans="1:20" s="14" customFormat="1" ht="15">
      <c r="A111" s="14">
        <f t="shared" si="4"/>
        <v>107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6">
        <f>SUM(CalculoPorPeriodo[[#This Row],[Jan]:[Dez]])</f>
        <v>0</v>
      </c>
      <c r="S111" s="27"/>
    </row>
    <row r="112" spans="1:20" s="14" customFormat="1" ht="15">
      <c r="A112" s="14">
        <f t="shared" si="4"/>
        <v>108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26">
        <f>SUM(CalculoPorPeriodo[[#This Row],[Jan]:[Dez]])</f>
        <v>0</v>
      </c>
      <c r="S112" s="27"/>
    </row>
    <row r="113" spans="1:19" s="14" customFormat="1" ht="15">
      <c r="A113" s="14">
        <f t="shared" si="4"/>
        <v>109</v>
      </c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6">
        <f>SUM(CalculoPorPeriodo[[#This Row],[Jan]:[Dez]])</f>
        <v>0</v>
      </c>
      <c r="S113" s="27"/>
    </row>
    <row r="114" spans="1:19" s="14" customFormat="1" ht="15">
      <c r="A114" s="14">
        <f t="shared" si="4"/>
        <v>110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6">
        <f>SUM(CalculoPorPeriodo[[#This Row],[Jan]:[Dez]])</f>
        <v>0</v>
      </c>
      <c r="S114" s="27"/>
    </row>
    <row r="115" spans="1:19" s="14" customFormat="1" ht="15">
      <c r="A115" s="14">
        <f t="shared" si="4"/>
        <v>111</v>
      </c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6">
        <f>SUM(CalculoPorPeriodo[[#This Row],[Jan]:[Dez]])</f>
        <v>0</v>
      </c>
      <c r="S115" s="27"/>
    </row>
    <row r="116" spans="1:19" s="14" customFormat="1" ht="15">
      <c r="A116" s="14">
        <f t="shared" si="4"/>
        <v>112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6">
        <f>SUM(CalculoPorPeriodo[[#This Row],[Jan]:[Dez]])</f>
        <v>0</v>
      </c>
      <c r="S116" s="27"/>
    </row>
    <row r="117" spans="1:19" s="14" customFormat="1" ht="15">
      <c r="A117" s="14">
        <f t="shared" si="4"/>
        <v>113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6">
        <f>SUM(CalculoPorPeriodo[[#This Row],[Jan]:[Dez]])</f>
        <v>0</v>
      </c>
      <c r="S117" s="27"/>
    </row>
    <row r="118" spans="1:19" s="14" customFormat="1" ht="15">
      <c r="A118" s="14">
        <f t="shared" si="4"/>
        <v>114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6">
        <f>SUM(CalculoPorPeriodo[[#This Row],[Jan]:[Dez]])</f>
        <v>0</v>
      </c>
      <c r="S118" s="27"/>
    </row>
    <row r="119" spans="1:19" s="14" customFormat="1" ht="15">
      <c r="A119" s="14">
        <f t="shared" si="4"/>
        <v>115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6">
        <f>SUM(CalculoPorPeriodo[[#This Row],[Jan]:[Dez]])</f>
        <v>0</v>
      </c>
      <c r="S119" s="27"/>
    </row>
    <row r="120" spans="1:19" s="14" customFormat="1" ht="15">
      <c r="A120" s="14">
        <f t="shared" si="4"/>
        <v>116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6">
        <f>SUM(CalculoPorPeriodo[[#This Row],[Jan]:[Dez]])</f>
        <v>0</v>
      </c>
      <c r="S120" s="27"/>
    </row>
    <row r="121" spans="1:19" s="14" customFormat="1" ht="15">
      <c r="A121" s="14">
        <f t="shared" si="4"/>
        <v>117</v>
      </c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6">
        <f>SUM(CalculoPorPeriodo[[#This Row],[Jan]:[Dez]])</f>
        <v>0</v>
      </c>
      <c r="S121" s="27"/>
    </row>
    <row r="122" spans="1:19" s="14" customFormat="1" ht="15">
      <c r="A122" s="14">
        <f t="shared" si="4"/>
        <v>118</v>
      </c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6">
        <f>SUM(CalculoPorPeriodo[[#This Row],[Jan]:[Dez]])</f>
        <v>0</v>
      </c>
      <c r="S122" s="27"/>
    </row>
    <row r="123" spans="1:19" s="14" customFormat="1" ht="15">
      <c r="A123" s="14">
        <f t="shared" si="4"/>
        <v>119</v>
      </c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6">
        <f>SUM(CalculoPorPeriodo[[#This Row],[Jan]:[Dez]])</f>
        <v>0</v>
      </c>
      <c r="S123" s="27"/>
    </row>
    <row r="124" spans="1:19" s="14" customFormat="1" ht="15">
      <c r="A124" s="14">
        <f t="shared" si="4"/>
        <v>120</v>
      </c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6">
        <f>SUM(CalculoPorPeriodo[[#This Row],[Jan]:[Dez]])</f>
        <v>0</v>
      </c>
      <c r="S124" s="27"/>
    </row>
    <row r="125" spans="1:19" s="14" customFormat="1" ht="15">
      <c r="A125" s="14">
        <f t="shared" si="4"/>
        <v>121</v>
      </c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6">
        <f>SUM(CalculoPorPeriodo[[#This Row],[Jan]:[Dez]])</f>
        <v>0</v>
      </c>
      <c r="S125" s="27"/>
    </row>
    <row r="126" spans="1:19" s="14" customFormat="1" ht="15">
      <c r="A126" s="14">
        <f t="shared" si="4"/>
        <v>122</v>
      </c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6">
        <f>SUM(CalculoPorPeriodo[[#This Row],[Jan]:[Dez]])</f>
        <v>0</v>
      </c>
      <c r="S126" s="27"/>
    </row>
    <row r="127" spans="1:19" s="14" customFormat="1" ht="15">
      <c r="A127" s="14">
        <f t="shared" si="4"/>
        <v>123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6">
        <f>SUM(CalculoPorPeriodo[[#This Row],[Jan]:[Dez]])</f>
        <v>0</v>
      </c>
      <c r="S127" s="27"/>
    </row>
    <row r="128" spans="1:19" s="14" customFormat="1" ht="15">
      <c r="A128" s="14">
        <f t="shared" si="4"/>
        <v>124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6">
        <f>SUM(CalculoPorPeriodo[[#This Row],[Jan]:[Dez]])</f>
        <v>0</v>
      </c>
      <c r="S128" s="27"/>
    </row>
    <row r="129" spans="1:19" s="14" customFormat="1" ht="15">
      <c r="A129" s="14">
        <f t="shared" si="4"/>
        <v>125</v>
      </c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6">
        <f>SUM(CalculoPorPeriodo[[#This Row],[Jan]:[Dez]])</f>
        <v>0</v>
      </c>
      <c r="S129" s="27"/>
    </row>
    <row r="130" spans="1:19" s="14" customFormat="1" ht="15">
      <c r="A130" s="14">
        <f t="shared" si="4"/>
        <v>126</v>
      </c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6">
        <f>SUM(CalculoPorPeriodo[[#This Row],[Jan]:[Dez]])</f>
        <v>0</v>
      </c>
      <c r="S130" s="27"/>
    </row>
    <row r="131" spans="1:19" s="14" customFormat="1" ht="15">
      <c r="A131" s="14">
        <f t="shared" si="4"/>
        <v>127</v>
      </c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6">
        <f>SUM(CalculoPorPeriodo[[#This Row],[Jan]:[Dez]])</f>
        <v>0</v>
      </c>
      <c r="S131" s="27"/>
    </row>
    <row r="132" spans="1:19" s="14" customFormat="1" ht="15">
      <c r="A132" s="14">
        <f t="shared" si="4"/>
        <v>128</v>
      </c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6">
        <f>SUM(CalculoPorPeriodo[[#This Row],[Jan]:[Dez]])</f>
        <v>0</v>
      </c>
      <c r="S132" s="27"/>
    </row>
    <row r="133" spans="1:19" s="14" customFormat="1" ht="15">
      <c r="A133" s="14">
        <f t="shared" si="4"/>
        <v>129</v>
      </c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6">
        <f>SUM(CalculoPorPeriodo[[#This Row],[Jan]:[Dez]])</f>
        <v>0</v>
      </c>
      <c r="S133" s="27"/>
    </row>
    <row r="134" spans="1:19" s="14" customFormat="1" ht="15">
      <c r="A134" s="14">
        <f t="shared" si="4"/>
        <v>130</v>
      </c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6">
        <f>SUM(CalculoPorPeriodo[[#This Row],[Jan]:[Dez]])</f>
        <v>0</v>
      </c>
      <c r="S134" s="27"/>
    </row>
    <row r="135" spans="1:19" s="14" customFormat="1" ht="15">
      <c r="A135" s="14">
        <f t="shared" ref="A135:A198" si="6">A134+1</f>
        <v>131</v>
      </c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6">
        <f>SUM(CalculoPorPeriodo[[#This Row],[Jan]:[Dez]])</f>
        <v>0</v>
      </c>
      <c r="S135" s="27"/>
    </row>
    <row r="136" spans="1:19" s="14" customFormat="1" ht="15">
      <c r="A136" s="14">
        <f t="shared" si="6"/>
        <v>132</v>
      </c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6">
        <f>SUM(CalculoPorPeriodo[[#This Row],[Jan]:[Dez]])</f>
        <v>0</v>
      </c>
      <c r="S136" s="27"/>
    </row>
    <row r="137" spans="1:19" s="14" customFormat="1" ht="15">
      <c r="A137" s="14">
        <f t="shared" si="6"/>
        <v>133</v>
      </c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6">
        <f>SUM(CalculoPorPeriodo[[#This Row],[Jan]:[Dez]])</f>
        <v>0</v>
      </c>
      <c r="S137" s="27"/>
    </row>
    <row r="138" spans="1:19" s="14" customFormat="1" ht="15">
      <c r="A138" s="14">
        <f t="shared" si="6"/>
        <v>134</v>
      </c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6">
        <f>SUM(CalculoPorPeriodo[[#This Row],[Jan]:[Dez]])</f>
        <v>0</v>
      </c>
      <c r="S138" s="27"/>
    </row>
    <row r="139" spans="1:19" s="14" customFormat="1" ht="15">
      <c r="A139" s="14">
        <f t="shared" si="6"/>
        <v>135</v>
      </c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6">
        <f>SUM(CalculoPorPeriodo[[#This Row],[Jan]:[Dez]])</f>
        <v>0</v>
      </c>
      <c r="S139" s="27"/>
    </row>
    <row r="140" spans="1:19" s="14" customFormat="1" ht="15">
      <c r="A140" s="14">
        <f t="shared" si="6"/>
        <v>136</v>
      </c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6">
        <f>SUM(CalculoPorPeriodo[[#This Row],[Jan]:[Dez]])</f>
        <v>0</v>
      </c>
      <c r="S140" s="27"/>
    </row>
    <row r="141" spans="1:19" s="14" customFormat="1" ht="15">
      <c r="A141" s="14">
        <f t="shared" si="6"/>
        <v>137</v>
      </c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6">
        <f>SUM(CalculoPorPeriodo[[#This Row],[Jan]:[Dez]])</f>
        <v>0</v>
      </c>
      <c r="S141" s="27"/>
    </row>
    <row r="142" spans="1:19" s="14" customFormat="1" ht="15">
      <c r="A142" s="14">
        <f t="shared" si="6"/>
        <v>138</v>
      </c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6">
        <f>SUM(CalculoPorPeriodo[[#This Row],[Jan]:[Dez]])</f>
        <v>0</v>
      </c>
      <c r="S142" s="27"/>
    </row>
    <row r="143" spans="1:19" s="14" customFormat="1" ht="15">
      <c r="A143" s="14">
        <f t="shared" si="6"/>
        <v>139</v>
      </c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6">
        <f>SUM(CalculoPorPeriodo[[#This Row],[Jan]:[Dez]])</f>
        <v>0</v>
      </c>
      <c r="S143" s="27"/>
    </row>
    <row r="144" spans="1:19" s="14" customFormat="1" ht="15">
      <c r="A144" s="14">
        <f t="shared" si="6"/>
        <v>140</v>
      </c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6">
        <f>SUM(CalculoPorPeriodo[[#This Row],[Jan]:[Dez]])</f>
        <v>0</v>
      </c>
      <c r="S144" s="27"/>
    </row>
    <row r="145" spans="1:19" s="14" customFormat="1" ht="15">
      <c r="A145" s="14">
        <f t="shared" si="6"/>
        <v>141</v>
      </c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6">
        <f>SUM(CalculoPorPeriodo[[#This Row],[Jan]:[Dez]])</f>
        <v>0</v>
      </c>
      <c r="S145" s="27"/>
    </row>
    <row r="146" spans="1:19" s="14" customFormat="1" ht="15">
      <c r="A146" s="14">
        <f t="shared" si="6"/>
        <v>142</v>
      </c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6">
        <f>SUM(CalculoPorPeriodo[[#This Row],[Jan]:[Dez]])</f>
        <v>0</v>
      </c>
      <c r="S146" s="27"/>
    </row>
    <row r="147" spans="1:19" s="14" customFormat="1" ht="15">
      <c r="A147" s="14">
        <f t="shared" si="6"/>
        <v>143</v>
      </c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6">
        <f>SUM(CalculoPorPeriodo[[#This Row],[Jan]:[Dez]])</f>
        <v>0</v>
      </c>
      <c r="S147" s="27"/>
    </row>
    <row r="148" spans="1:19" s="14" customFormat="1" ht="15">
      <c r="A148" s="14">
        <f t="shared" si="6"/>
        <v>144</v>
      </c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6">
        <f>SUM(CalculoPorPeriodo[[#This Row],[Jan]:[Dez]])</f>
        <v>0</v>
      </c>
      <c r="S148" s="27"/>
    </row>
    <row r="149" spans="1:19" s="14" customFormat="1" ht="15">
      <c r="A149" s="14">
        <f t="shared" si="6"/>
        <v>145</v>
      </c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6">
        <f>SUM(CalculoPorPeriodo[[#This Row],[Jan]:[Dez]])</f>
        <v>0</v>
      </c>
      <c r="S149" s="27"/>
    </row>
    <row r="150" spans="1:19" s="14" customFormat="1" ht="15">
      <c r="A150" s="14">
        <f t="shared" si="6"/>
        <v>146</v>
      </c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6">
        <f>SUM(CalculoPorPeriodo[[#This Row],[Jan]:[Dez]])</f>
        <v>0</v>
      </c>
      <c r="S150" s="27"/>
    </row>
    <row r="151" spans="1:19" s="14" customFormat="1" ht="15">
      <c r="A151" s="14">
        <f t="shared" si="6"/>
        <v>147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6">
        <f>SUM(CalculoPorPeriodo[[#This Row],[Jan]:[Dez]])</f>
        <v>0</v>
      </c>
      <c r="S151" s="27"/>
    </row>
    <row r="152" spans="1:19" s="14" customFormat="1" ht="15">
      <c r="A152" s="14">
        <f t="shared" si="6"/>
        <v>148</v>
      </c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6">
        <f>SUM(CalculoPorPeriodo[[#This Row],[Jan]:[Dez]])</f>
        <v>0</v>
      </c>
      <c r="S152" s="27"/>
    </row>
    <row r="153" spans="1:19" s="14" customFormat="1" ht="15">
      <c r="A153" s="14">
        <f t="shared" si="6"/>
        <v>149</v>
      </c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6">
        <f>SUM(CalculoPorPeriodo[[#This Row],[Jan]:[Dez]])</f>
        <v>0</v>
      </c>
      <c r="S153" s="27"/>
    </row>
    <row r="154" spans="1:19" s="14" customFormat="1" ht="15">
      <c r="A154" s="14">
        <f t="shared" si="6"/>
        <v>150</v>
      </c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6">
        <f>SUM(CalculoPorPeriodo[[#This Row],[Jan]:[Dez]])</f>
        <v>0</v>
      </c>
      <c r="S154" s="27"/>
    </row>
    <row r="155" spans="1:19" s="14" customFormat="1" ht="15">
      <c r="A155" s="14">
        <f t="shared" si="6"/>
        <v>151</v>
      </c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6">
        <f>SUM(CalculoPorPeriodo[[#This Row],[Jan]:[Dez]])</f>
        <v>0</v>
      </c>
      <c r="S155" s="27"/>
    </row>
    <row r="156" spans="1:19" s="14" customFormat="1" ht="15">
      <c r="A156" s="14">
        <f t="shared" si="6"/>
        <v>152</v>
      </c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6">
        <f>SUM(CalculoPorPeriodo[[#This Row],[Jan]:[Dez]])</f>
        <v>0</v>
      </c>
      <c r="S156" s="27"/>
    </row>
    <row r="157" spans="1:19" s="14" customFormat="1" ht="15">
      <c r="A157" s="14">
        <f t="shared" si="6"/>
        <v>153</v>
      </c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6">
        <f>SUM(CalculoPorPeriodo[[#This Row],[Jan]:[Dez]])</f>
        <v>0</v>
      </c>
      <c r="S157" s="27"/>
    </row>
    <row r="158" spans="1:19" s="14" customFormat="1" ht="15">
      <c r="A158" s="14">
        <f t="shared" si="6"/>
        <v>154</v>
      </c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6">
        <f>SUM(CalculoPorPeriodo[[#This Row],[Jan]:[Dez]])</f>
        <v>0</v>
      </c>
      <c r="S158" s="27"/>
    </row>
    <row r="159" spans="1:19" s="14" customFormat="1" ht="15">
      <c r="A159" s="14">
        <f t="shared" si="6"/>
        <v>155</v>
      </c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6">
        <f>SUM(CalculoPorPeriodo[[#This Row],[Jan]:[Dez]])</f>
        <v>0</v>
      </c>
      <c r="S159" s="27"/>
    </row>
    <row r="160" spans="1:19" s="14" customFormat="1" ht="15">
      <c r="A160" s="14">
        <f t="shared" si="6"/>
        <v>156</v>
      </c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6">
        <f>SUM(CalculoPorPeriodo[[#This Row],[Jan]:[Dez]])</f>
        <v>0</v>
      </c>
      <c r="S160" s="27"/>
    </row>
    <row r="161" spans="1:19" s="14" customFormat="1" ht="15">
      <c r="A161" s="14">
        <f t="shared" si="6"/>
        <v>157</v>
      </c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6">
        <f>SUM(CalculoPorPeriodo[[#This Row],[Jan]:[Dez]])</f>
        <v>0</v>
      </c>
      <c r="S161" s="27"/>
    </row>
    <row r="162" spans="1:19" s="14" customFormat="1" ht="15">
      <c r="A162" s="14">
        <f t="shared" si="6"/>
        <v>158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6">
        <f>SUM(CalculoPorPeriodo[[#This Row],[Jan]:[Dez]])</f>
        <v>0</v>
      </c>
      <c r="S162" s="27"/>
    </row>
    <row r="163" spans="1:19" s="14" customFormat="1" ht="15">
      <c r="A163" s="14">
        <f t="shared" si="6"/>
        <v>159</v>
      </c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6">
        <f>SUM(CalculoPorPeriodo[[#This Row],[Jan]:[Dez]])</f>
        <v>0</v>
      </c>
      <c r="S163" s="27"/>
    </row>
    <row r="164" spans="1:19" s="14" customFormat="1" ht="15">
      <c r="A164" s="14">
        <f t="shared" si="6"/>
        <v>160</v>
      </c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6">
        <f>SUM(CalculoPorPeriodo[[#This Row],[Jan]:[Dez]])</f>
        <v>0</v>
      </c>
      <c r="S164" s="27"/>
    </row>
    <row r="165" spans="1:19" s="14" customFormat="1" ht="15">
      <c r="A165" s="14">
        <f t="shared" si="6"/>
        <v>161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6">
        <f>SUM(CalculoPorPeriodo[[#This Row],[Jan]:[Dez]])</f>
        <v>0</v>
      </c>
      <c r="S165" s="27"/>
    </row>
    <row r="166" spans="1:19" s="14" customFormat="1" ht="15">
      <c r="A166" s="14">
        <f t="shared" si="6"/>
        <v>162</v>
      </c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6">
        <f>SUM(CalculoPorPeriodo[[#This Row],[Jan]:[Dez]])</f>
        <v>0</v>
      </c>
      <c r="S166" s="27"/>
    </row>
    <row r="167" spans="1:19" s="14" customFormat="1" ht="15">
      <c r="A167" s="14">
        <f t="shared" si="6"/>
        <v>163</v>
      </c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6">
        <f>SUM(CalculoPorPeriodo[[#This Row],[Jan]:[Dez]])</f>
        <v>0</v>
      </c>
      <c r="S167" s="27"/>
    </row>
    <row r="168" spans="1:19" s="14" customFormat="1" ht="15">
      <c r="A168" s="14">
        <f t="shared" si="6"/>
        <v>164</v>
      </c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6">
        <f>SUM(CalculoPorPeriodo[[#This Row],[Jan]:[Dez]])</f>
        <v>0</v>
      </c>
      <c r="S168" s="27"/>
    </row>
    <row r="169" spans="1:19" s="14" customFormat="1" ht="15">
      <c r="A169" s="14">
        <f t="shared" si="6"/>
        <v>165</v>
      </c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6">
        <f>SUM(CalculoPorPeriodo[[#This Row],[Jan]:[Dez]])</f>
        <v>0</v>
      </c>
      <c r="S169" s="27"/>
    </row>
    <row r="170" spans="1:19" s="14" customFormat="1" ht="15">
      <c r="A170" s="14">
        <f t="shared" si="6"/>
        <v>166</v>
      </c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6">
        <f>SUM(CalculoPorPeriodo[[#This Row],[Jan]:[Dez]])</f>
        <v>0</v>
      </c>
      <c r="S170" s="27"/>
    </row>
    <row r="171" spans="1:19" s="14" customFormat="1" ht="15">
      <c r="A171" s="14">
        <f t="shared" si="6"/>
        <v>167</v>
      </c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6">
        <f>SUM(CalculoPorPeriodo[[#This Row],[Jan]:[Dez]])</f>
        <v>0</v>
      </c>
      <c r="S171" s="27"/>
    </row>
    <row r="172" spans="1:19" s="14" customFormat="1" ht="15">
      <c r="A172" s="14">
        <f t="shared" si="6"/>
        <v>168</v>
      </c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6">
        <f>SUM(CalculoPorPeriodo[[#This Row],[Jan]:[Dez]])</f>
        <v>0</v>
      </c>
      <c r="S172" s="27"/>
    </row>
    <row r="173" spans="1:19" s="14" customFormat="1" ht="15">
      <c r="A173" s="14">
        <f t="shared" si="6"/>
        <v>169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6">
        <f>SUM(CalculoPorPeriodo[[#This Row],[Jan]:[Dez]])</f>
        <v>0</v>
      </c>
      <c r="S173" s="27"/>
    </row>
    <row r="174" spans="1:19" s="14" customFormat="1" ht="15">
      <c r="A174" s="14">
        <f t="shared" si="6"/>
        <v>170</v>
      </c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6">
        <f>SUM(CalculoPorPeriodo[[#This Row],[Jan]:[Dez]])</f>
        <v>0</v>
      </c>
      <c r="S174" s="27"/>
    </row>
    <row r="175" spans="1:19" s="14" customFormat="1" ht="15">
      <c r="A175" s="14">
        <f t="shared" si="6"/>
        <v>171</v>
      </c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6">
        <f>SUM(CalculoPorPeriodo[[#This Row],[Jan]:[Dez]])</f>
        <v>0</v>
      </c>
      <c r="S175" s="27"/>
    </row>
    <row r="176" spans="1:19" s="14" customFormat="1" ht="15">
      <c r="A176" s="14">
        <f t="shared" si="6"/>
        <v>172</v>
      </c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6">
        <f>SUM(CalculoPorPeriodo[[#This Row],[Jan]:[Dez]])</f>
        <v>0</v>
      </c>
      <c r="S176" s="27"/>
    </row>
    <row r="177" spans="1:19" s="14" customFormat="1" ht="15">
      <c r="A177" s="14">
        <f t="shared" si="6"/>
        <v>173</v>
      </c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6">
        <f>SUM(CalculoPorPeriodo[[#This Row],[Jan]:[Dez]])</f>
        <v>0</v>
      </c>
      <c r="S177" s="27"/>
    </row>
    <row r="178" spans="1:19" s="14" customFormat="1" ht="15">
      <c r="A178" s="14">
        <f t="shared" si="6"/>
        <v>174</v>
      </c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6">
        <f>SUM(CalculoPorPeriodo[[#This Row],[Jan]:[Dez]])</f>
        <v>0</v>
      </c>
      <c r="S178" s="27"/>
    </row>
    <row r="179" spans="1:19" s="14" customFormat="1" ht="15">
      <c r="A179" s="14">
        <f t="shared" si="6"/>
        <v>175</v>
      </c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6">
        <f>SUM(CalculoPorPeriodo[[#This Row],[Jan]:[Dez]])</f>
        <v>0</v>
      </c>
      <c r="S179" s="27"/>
    </row>
    <row r="180" spans="1:19" s="14" customFormat="1" ht="15">
      <c r="A180" s="14">
        <f t="shared" si="6"/>
        <v>176</v>
      </c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6">
        <f>SUM(CalculoPorPeriodo[[#This Row],[Jan]:[Dez]])</f>
        <v>0</v>
      </c>
      <c r="S180" s="27"/>
    </row>
    <row r="181" spans="1:19" s="14" customFormat="1" ht="15">
      <c r="A181" s="14">
        <f t="shared" si="6"/>
        <v>177</v>
      </c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6">
        <f>SUM(CalculoPorPeriodo[[#This Row],[Jan]:[Dez]])</f>
        <v>0</v>
      </c>
      <c r="S181" s="27"/>
    </row>
    <row r="182" spans="1:19" s="14" customFormat="1" ht="15">
      <c r="A182" s="14">
        <f t="shared" si="6"/>
        <v>178</v>
      </c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6">
        <f>SUM(CalculoPorPeriodo[[#This Row],[Jan]:[Dez]])</f>
        <v>0</v>
      </c>
      <c r="S182" s="27"/>
    </row>
    <row r="183" spans="1:19" s="14" customFormat="1" ht="15">
      <c r="A183" s="14">
        <f t="shared" si="6"/>
        <v>179</v>
      </c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6">
        <f>SUM(CalculoPorPeriodo[[#This Row],[Jan]:[Dez]])</f>
        <v>0</v>
      </c>
      <c r="S183" s="27"/>
    </row>
    <row r="184" spans="1:19" s="14" customFormat="1" ht="15">
      <c r="A184" s="14">
        <f t="shared" si="6"/>
        <v>180</v>
      </c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6">
        <f>SUM(CalculoPorPeriodo[[#This Row],[Jan]:[Dez]])</f>
        <v>0</v>
      </c>
      <c r="S184" s="27"/>
    </row>
    <row r="185" spans="1:19" s="14" customFormat="1" ht="15">
      <c r="A185" s="14">
        <f t="shared" si="6"/>
        <v>181</v>
      </c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6">
        <f>SUM(CalculoPorPeriodo[[#This Row],[Jan]:[Dez]])</f>
        <v>0</v>
      </c>
      <c r="S185" s="27"/>
    </row>
    <row r="186" spans="1:19" s="14" customFormat="1" ht="15">
      <c r="A186" s="14">
        <f t="shared" si="6"/>
        <v>182</v>
      </c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6">
        <f>SUM(CalculoPorPeriodo[[#This Row],[Jan]:[Dez]])</f>
        <v>0</v>
      </c>
      <c r="S186" s="27"/>
    </row>
    <row r="187" spans="1:19" s="14" customFormat="1" ht="15">
      <c r="A187" s="14">
        <f t="shared" si="6"/>
        <v>183</v>
      </c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6">
        <f>SUM(CalculoPorPeriodo[[#This Row],[Jan]:[Dez]])</f>
        <v>0</v>
      </c>
      <c r="S187" s="27"/>
    </row>
    <row r="188" spans="1:19" s="14" customFormat="1" ht="15">
      <c r="A188" s="14">
        <f t="shared" si="6"/>
        <v>184</v>
      </c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6">
        <f>SUM(CalculoPorPeriodo[[#This Row],[Jan]:[Dez]])</f>
        <v>0</v>
      </c>
      <c r="S188" s="27"/>
    </row>
    <row r="189" spans="1:19" s="14" customFormat="1" ht="15">
      <c r="A189" s="14">
        <f t="shared" si="6"/>
        <v>185</v>
      </c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6">
        <f>SUM(CalculoPorPeriodo[[#This Row],[Jan]:[Dez]])</f>
        <v>0</v>
      </c>
      <c r="S189" s="27"/>
    </row>
    <row r="190" spans="1:19" s="14" customFormat="1" ht="15">
      <c r="A190" s="14">
        <f t="shared" si="6"/>
        <v>186</v>
      </c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6">
        <f>SUM(CalculoPorPeriodo[[#This Row],[Jan]:[Dez]])</f>
        <v>0</v>
      </c>
      <c r="S190" s="27"/>
    </row>
    <row r="191" spans="1:19" s="14" customFormat="1" ht="15">
      <c r="A191" s="14">
        <f t="shared" si="6"/>
        <v>187</v>
      </c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6">
        <f>SUM(CalculoPorPeriodo[[#This Row],[Jan]:[Dez]])</f>
        <v>0</v>
      </c>
      <c r="S191" s="27"/>
    </row>
    <row r="192" spans="1:19" s="14" customFormat="1" ht="15">
      <c r="A192" s="14">
        <f t="shared" si="6"/>
        <v>188</v>
      </c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6">
        <f>SUM(CalculoPorPeriodo[[#This Row],[Jan]:[Dez]])</f>
        <v>0</v>
      </c>
      <c r="S192" s="27"/>
    </row>
    <row r="193" spans="1:19" s="14" customFormat="1" ht="15">
      <c r="A193" s="14">
        <f t="shared" si="6"/>
        <v>189</v>
      </c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6">
        <f>SUM(CalculoPorPeriodo[[#This Row],[Jan]:[Dez]])</f>
        <v>0</v>
      </c>
      <c r="S193" s="27"/>
    </row>
    <row r="194" spans="1:19" s="14" customFormat="1" ht="15">
      <c r="A194" s="14">
        <f t="shared" si="6"/>
        <v>190</v>
      </c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6">
        <f>SUM(CalculoPorPeriodo[[#This Row],[Jan]:[Dez]])</f>
        <v>0</v>
      </c>
      <c r="S194" s="27"/>
    </row>
    <row r="195" spans="1:19" s="14" customFormat="1" ht="15">
      <c r="A195" s="14">
        <f t="shared" si="6"/>
        <v>191</v>
      </c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6">
        <f>SUM(CalculoPorPeriodo[[#This Row],[Jan]:[Dez]])</f>
        <v>0</v>
      </c>
      <c r="S195" s="27"/>
    </row>
    <row r="196" spans="1:19" s="14" customFormat="1" ht="15">
      <c r="A196" s="14">
        <f t="shared" si="6"/>
        <v>192</v>
      </c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6">
        <f>SUM(CalculoPorPeriodo[[#This Row],[Jan]:[Dez]])</f>
        <v>0</v>
      </c>
      <c r="S196" s="27"/>
    </row>
    <row r="197" spans="1:19" s="14" customFormat="1" ht="15">
      <c r="A197" s="14">
        <f t="shared" si="6"/>
        <v>193</v>
      </c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6">
        <f>SUM(CalculoPorPeriodo[[#This Row],[Jan]:[Dez]])</f>
        <v>0</v>
      </c>
      <c r="S197" s="27"/>
    </row>
    <row r="198" spans="1:19" s="14" customFormat="1" ht="15">
      <c r="A198" s="14">
        <f t="shared" si="6"/>
        <v>194</v>
      </c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6">
        <f>SUM(CalculoPorPeriodo[[#This Row],[Jan]:[Dez]])</f>
        <v>0</v>
      </c>
      <c r="S198" s="27"/>
    </row>
    <row r="199" spans="1:19" s="14" customFormat="1" ht="15">
      <c r="A199" s="14">
        <f t="shared" ref="A199:A262" si="7">A198+1</f>
        <v>195</v>
      </c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6">
        <f>SUM(CalculoPorPeriodo[[#This Row],[Jan]:[Dez]])</f>
        <v>0</v>
      </c>
      <c r="S199" s="27"/>
    </row>
    <row r="200" spans="1:19" s="14" customFormat="1" ht="15">
      <c r="A200" s="14">
        <f t="shared" si="7"/>
        <v>196</v>
      </c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6">
        <f>SUM(CalculoPorPeriodo[[#This Row],[Jan]:[Dez]])</f>
        <v>0</v>
      </c>
      <c r="S200" s="27"/>
    </row>
    <row r="201" spans="1:19" s="14" customFormat="1" ht="15">
      <c r="A201" s="14">
        <f t="shared" si="7"/>
        <v>197</v>
      </c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6">
        <f>SUM(CalculoPorPeriodo[[#This Row],[Jan]:[Dez]])</f>
        <v>0</v>
      </c>
      <c r="S201" s="27"/>
    </row>
    <row r="202" spans="1:19" s="14" customFormat="1" ht="15">
      <c r="A202" s="14">
        <f t="shared" si="7"/>
        <v>198</v>
      </c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6">
        <f>SUM(CalculoPorPeriodo[[#This Row],[Jan]:[Dez]])</f>
        <v>0</v>
      </c>
      <c r="S202" s="27"/>
    </row>
    <row r="203" spans="1:19" s="14" customFormat="1" ht="15">
      <c r="A203" s="14">
        <f t="shared" si="7"/>
        <v>199</v>
      </c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6">
        <f>SUM(CalculoPorPeriodo[[#This Row],[Jan]:[Dez]])</f>
        <v>0</v>
      </c>
      <c r="S203" s="27"/>
    </row>
    <row r="204" spans="1:19" s="14" customFormat="1" ht="15">
      <c r="A204" s="14">
        <f t="shared" si="7"/>
        <v>200</v>
      </c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6">
        <f>SUM(CalculoPorPeriodo[[#This Row],[Jan]:[Dez]])</f>
        <v>0</v>
      </c>
      <c r="S204" s="27"/>
    </row>
    <row r="205" spans="1:19" s="14" customFormat="1" ht="15">
      <c r="A205" s="14">
        <f t="shared" si="7"/>
        <v>201</v>
      </c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6">
        <f>SUM(CalculoPorPeriodo[[#This Row],[Jan]:[Dez]])</f>
        <v>0</v>
      </c>
      <c r="S205" s="27"/>
    </row>
    <row r="206" spans="1:19" s="14" customFormat="1" ht="15">
      <c r="A206" s="14">
        <f t="shared" si="7"/>
        <v>202</v>
      </c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6">
        <f>SUM(CalculoPorPeriodo[[#This Row],[Jan]:[Dez]])</f>
        <v>0</v>
      </c>
      <c r="S206" s="27"/>
    </row>
    <row r="207" spans="1:19" s="14" customFormat="1" ht="15">
      <c r="A207" s="14">
        <f t="shared" si="7"/>
        <v>203</v>
      </c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6">
        <f>SUM(CalculoPorPeriodo[[#This Row],[Jan]:[Dez]])</f>
        <v>0</v>
      </c>
      <c r="S207" s="27"/>
    </row>
    <row r="208" spans="1:19" s="14" customFormat="1" ht="15">
      <c r="A208" s="14">
        <f t="shared" si="7"/>
        <v>204</v>
      </c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6">
        <f>SUM(CalculoPorPeriodo[[#This Row],[Jan]:[Dez]])</f>
        <v>0</v>
      </c>
      <c r="S208" s="27"/>
    </row>
    <row r="209" spans="1:19" s="14" customFormat="1" ht="15">
      <c r="A209" s="14">
        <f t="shared" si="7"/>
        <v>205</v>
      </c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6">
        <f>SUM(CalculoPorPeriodo[[#This Row],[Jan]:[Dez]])</f>
        <v>0</v>
      </c>
      <c r="S209" s="27"/>
    </row>
    <row r="210" spans="1:19" s="14" customFormat="1" ht="15">
      <c r="A210" s="14">
        <f t="shared" si="7"/>
        <v>206</v>
      </c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6">
        <f>SUM(CalculoPorPeriodo[[#This Row],[Jan]:[Dez]])</f>
        <v>0</v>
      </c>
      <c r="S210" s="27"/>
    </row>
    <row r="211" spans="1:19" s="14" customFormat="1" ht="15">
      <c r="A211" s="14">
        <f t="shared" si="7"/>
        <v>207</v>
      </c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6">
        <f>SUM(CalculoPorPeriodo[[#This Row],[Jan]:[Dez]])</f>
        <v>0</v>
      </c>
      <c r="S211" s="27"/>
    </row>
    <row r="212" spans="1:19" s="14" customFormat="1" ht="15">
      <c r="A212" s="14">
        <f t="shared" si="7"/>
        <v>208</v>
      </c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6">
        <f>SUM(CalculoPorPeriodo[[#This Row],[Jan]:[Dez]])</f>
        <v>0</v>
      </c>
      <c r="S212" s="27"/>
    </row>
    <row r="213" spans="1:19" s="14" customFormat="1" ht="15">
      <c r="A213" s="14">
        <f t="shared" si="7"/>
        <v>209</v>
      </c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6">
        <f>SUM(CalculoPorPeriodo[[#This Row],[Jan]:[Dez]])</f>
        <v>0</v>
      </c>
      <c r="S213" s="27"/>
    </row>
    <row r="214" spans="1:19" s="14" customFormat="1" ht="15">
      <c r="A214" s="14">
        <f t="shared" si="7"/>
        <v>210</v>
      </c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6">
        <f>SUM(CalculoPorPeriodo[[#This Row],[Jan]:[Dez]])</f>
        <v>0</v>
      </c>
      <c r="S214" s="27"/>
    </row>
    <row r="215" spans="1:19" s="14" customFormat="1" ht="15">
      <c r="A215" s="14">
        <f t="shared" si="7"/>
        <v>211</v>
      </c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6">
        <f>SUM(CalculoPorPeriodo[[#This Row],[Jan]:[Dez]])</f>
        <v>0</v>
      </c>
      <c r="S215" s="27"/>
    </row>
    <row r="216" spans="1:19" s="14" customFormat="1" ht="15">
      <c r="A216" s="14">
        <f t="shared" si="7"/>
        <v>212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6">
        <f>SUM(CalculoPorPeriodo[[#This Row],[Jan]:[Dez]])</f>
        <v>0</v>
      </c>
      <c r="S216" s="27"/>
    </row>
    <row r="217" spans="1:19" s="14" customFormat="1" ht="15">
      <c r="A217" s="14">
        <f t="shared" si="7"/>
        <v>213</v>
      </c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6">
        <f>SUM(CalculoPorPeriodo[[#This Row],[Jan]:[Dez]])</f>
        <v>0</v>
      </c>
      <c r="S217" s="27"/>
    </row>
    <row r="218" spans="1:19" s="14" customFormat="1" ht="15">
      <c r="A218" s="14">
        <f t="shared" si="7"/>
        <v>214</v>
      </c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6">
        <f>SUM(CalculoPorPeriodo[[#This Row],[Jan]:[Dez]])</f>
        <v>0</v>
      </c>
      <c r="S218" s="27"/>
    </row>
    <row r="219" spans="1:19" s="14" customFormat="1" ht="15">
      <c r="A219" s="14">
        <f t="shared" si="7"/>
        <v>215</v>
      </c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6">
        <f>SUM(CalculoPorPeriodo[[#This Row],[Jan]:[Dez]])</f>
        <v>0</v>
      </c>
      <c r="S219" s="27"/>
    </row>
    <row r="220" spans="1:19" s="14" customFormat="1" ht="15">
      <c r="A220" s="14">
        <f t="shared" si="7"/>
        <v>216</v>
      </c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6">
        <f>SUM(CalculoPorPeriodo[[#This Row],[Jan]:[Dez]])</f>
        <v>0</v>
      </c>
      <c r="S220" s="27"/>
    </row>
    <row r="221" spans="1:19" s="14" customFormat="1" ht="15">
      <c r="A221" s="14">
        <f t="shared" si="7"/>
        <v>217</v>
      </c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6">
        <f>SUM(CalculoPorPeriodo[[#This Row],[Jan]:[Dez]])</f>
        <v>0</v>
      </c>
      <c r="S221" s="27"/>
    </row>
    <row r="222" spans="1:19" s="14" customFormat="1" ht="15">
      <c r="A222" s="14">
        <f t="shared" si="7"/>
        <v>218</v>
      </c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6">
        <f>SUM(CalculoPorPeriodo[[#This Row],[Jan]:[Dez]])</f>
        <v>0</v>
      </c>
      <c r="S222" s="27"/>
    </row>
    <row r="223" spans="1:19" s="14" customFormat="1" ht="15">
      <c r="A223" s="14">
        <f t="shared" si="7"/>
        <v>219</v>
      </c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6">
        <f>SUM(CalculoPorPeriodo[[#This Row],[Jan]:[Dez]])</f>
        <v>0</v>
      </c>
      <c r="S223" s="27"/>
    </row>
    <row r="224" spans="1:19" s="14" customFormat="1" ht="15">
      <c r="A224" s="14">
        <f t="shared" si="7"/>
        <v>220</v>
      </c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6">
        <f>SUM(CalculoPorPeriodo[[#This Row],[Jan]:[Dez]])</f>
        <v>0</v>
      </c>
      <c r="S224" s="27"/>
    </row>
    <row r="225" spans="1:19" s="14" customFormat="1" ht="15">
      <c r="A225" s="14">
        <f t="shared" si="7"/>
        <v>221</v>
      </c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6">
        <f>SUM(CalculoPorPeriodo[[#This Row],[Jan]:[Dez]])</f>
        <v>0</v>
      </c>
      <c r="S225" s="27"/>
    </row>
    <row r="226" spans="1:19" s="14" customFormat="1" ht="15">
      <c r="A226" s="14">
        <f t="shared" si="7"/>
        <v>222</v>
      </c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6">
        <f>SUM(CalculoPorPeriodo[[#This Row],[Jan]:[Dez]])</f>
        <v>0</v>
      </c>
      <c r="S226" s="27"/>
    </row>
    <row r="227" spans="1:19" s="14" customFormat="1" ht="15">
      <c r="A227" s="14">
        <f t="shared" si="7"/>
        <v>223</v>
      </c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6">
        <f>SUM(CalculoPorPeriodo[[#This Row],[Jan]:[Dez]])</f>
        <v>0</v>
      </c>
      <c r="S227" s="27"/>
    </row>
    <row r="228" spans="1:19" s="14" customFormat="1" ht="15">
      <c r="A228" s="14">
        <f t="shared" si="7"/>
        <v>224</v>
      </c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6">
        <f>SUM(CalculoPorPeriodo[[#This Row],[Jan]:[Dez]])</f>
        <v>0</v>
      </c>
      <c r="S228" s="27"/>
    </row>
    <row r="229" spans="1:19" s="14" customFormat="1" ht="15">
      <c r="A229" s="14">
        <f t="shared" si="7"/>
        <v>225</v>
      </c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26">
        <f>SUM(CalculoPorPeriodo[[#This Row],[Jan]:[Dez]])</f>
        <v>0</v>
      </c>
      <c r="S229" s="27"/>
    </row>
    <row r="230" spans="1:19" s="14" customFormat="1" ht="15">
      <c r="A230" s="14">
        <f t="shared" si="7"/>
        <v>226</v>
      </c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26">
        <f>SUM(CalculoPorPeriodo[[#This Row],[Jan]:[Dez]])</f>
        <v>0</v>
      </c>
      <c r="S230" s="27"/>
    </row>
    <row r="231" spans="1:19" s="14" customFormat="1" ht="15">
      <c r="A231" s="14">
        <f t="shared" si="7"/>
        <v>227</v>
      </c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26">
        <f>SUM(CalculoPorPeriodo[[#This Row],[Jan]:[Dez]])</f>
        <v>0</v>
      </c>
      <c r="S231" s="27"/>
    </row>
    <row r="232" spans="1:19" s="14" customFormat="1" ht="15">
      <c r="A232" s="14">
        <f t="shared" si="7"/>
        <v>228</v>
      </c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26">
        <f>SUM(CalculoPorPeriodo[[#This Row],[Jan]:[Dez]])</f>
        <v>0</v>
      </c>
      <c r="S232" s="27"/>
    </row>
    <row r="233" spans="1:19" s="14" customFormat="1" ht="15">
      <c r="A233" s="14">
        <f t="shared" si="7"/>
        <v>229</v>
      </c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26">
        <f>SUM(CalculoPorPeriodo[[#This Row],[Jan]:[Dez]])</f>
        <v>0</v>
      </c>
      <c r="S233" s="27"/>
    </row>
    <row r="234" spans="1:19" s="14" customFormat="1" ht="15">
      <c r="A234" s="14">
        <f t="shared" si="7"/>
        <v>230</v>
      </c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26">
        <f>SUM(CalculoPorPeriodo[[#This Row],[Jan]:[Dez]])</f>
        <v>0</v>
      </c>
      <c r="S234" s="27"/>
    </row>
    <row r="235" spans="1:19" s="14" customFormat="1" ht="15">
      <c r="A235" s="14">
        <f t="shared" si="7"/>
        <v>231</v>
      </c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26">
        <f>SUM(CalculoPorPeriodo[[#This Row],[Jan]:[Dez]])</f>
        <v>0</v>
      </c>
      <c r="S235" s="27"/>
    </row>
    <row r="236" spans="1:19" s="14" customFormat="1" ht="15">
      <c r="A236" s="14">
        <f t="shared" si="7"/>
        <v>232</v>
      </c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26">
        <f>SUM(CalculoPorPeriodo[[#This Row],[Jan]:[Dez]])</f>
        <v>0</v>
      </c>
      <c r="S236" s="27"/>
    </row>
    <row r="237" spans="1:19" s="14" customFormat="1" ht="15">
      <c r="A237" s="14">
        <f t="shared" si="7"/>
        <v>233</v>
      </c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26">
        <f>SUM(CalculoPorPeriodo[[#This Row],[Jan]:[Dez]])</f>
        <v>0</v>
      </c>
      <c r="S237" s="27"/>
    </row>
    <row r="238" spans="1:19" s="14" customFormat="1" ht="15">
      <c r="A238" s="14">
        <f t="shared" si="7"/>
        <v>234</v>
      </c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26">
        <f>SUM(CalculoPorPeriodo[[#This Row],[Jan]:[Dez]])</f>
        <v>0</v>
      </c>
      <c r="S238" s="27"/>
    </row>
    <row r="239" spans="1:19" s="14" customFormat="1" ht="15">
      <c r="A239" s="14">
        <f t="shared" si="7"/>
        <v>235</v>
      </c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26">
        <f>SUM(CalculoPorPeriodo[[#This Row],[Jan]:[Dez]])</f>
        <v>0</v>
      </c>
      <c r="S239" s="27"/>
    </row>
    <row r="240" spans="1:19" s="14" customFormat="1" ht="15">
      <c r="A240" s="14">
        <f t="shared" si="7"/>
        <v>236</v>
      </c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26">
        <f>SUM(CalculoPorPeriodo[[#This Row],[Jan]:[Dez]])</f>
        <v>0</v>
      </c>
      <c r="S240" s="27"/>
    </row>
    <row r="241" spans="1:19" s="14" customFormat="1" ht="15">
      <c r="A241" s="14">
        <f t="shared" si="7"/>
        <v>237</v>
      </c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26">
        <f>SUM(CalculoPorPeriodo[[#This Row],[Jan]:[Dez]])</f>
        <v>0</v>
      </c>
      <c r="S241" s="27"/>
    </row>
    <row r="242" spans="1:19" s="14" customFormat="1" ht="15">
      <c r="A242" s="14">
        <f t="shared" si="7"/>
        <v>238</v>
      </c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26">
        <f>SUM(CalculoPorPeriodo[[#This Row],[Jan]:[Dez]])</f>
        <v>0</v>
      </c>
      <c r="S242" s="27"/>
    </row>
    <row r="243" spans="1:19" s="14" customFormat="1" ht="15">
      <c r="A243" s="14">
        <f t="shared" si="7"/>
        <v>239</v>
      </c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26">
        <f>SUM(CalculoPorPeriodo[[#This Row],[Jan]:[Dez]])</f>
        <v>0</v>
      </c>
      <c r="S243" s="27"/>
    </row>
    <row r="244" spans="1:19" s="14" customFormat="1" ht="15">
      <c r="A244" s="14">
        <f t="shared" si="7"/>
        <v>240</v>
      </c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26">
        <f>SUM(CalculoPorPeriodo[[#This Row],[Jan]:[Dez]])</f>
        <v>0</v>
      </c>
      <c r="S244" s="27"/>
    </row>
    <row r="245" spans="1:19" s="14" customFormat="1" ht="15">
      <c r="A245" s="14">
        <f t="shared" si="7"/>
        <v>241</v>
      </c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26">
        <f>SUM(CalculoPorPeriodo[[#This Row],[Jan]:[Dez]])</f>
        <v>0</v>
      </c>
      <c r="S245" s="27"/>
    </row>
    <row r="246" spans="1:19" s="14" customFormat="1" ht="15">
      <c r="A246" s="14">
        <f t="shared" si="7"/>
        <v>242</v>
      </c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26">
        <f>SUM(CalculoPorPeriodo[[#This Row],[Jan]:[Dez]])</f>
        <v>0</v>
      </c>
      <c r="S246" s="27"/>
    </row>
    <row r="247" spans="1:19" s="14" customFormat="1" ht="15">
      <c r="A247" s="14">
        <f t="shared" si="7"/>
        <v>243</v>
      </c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26">
        <f>SUM(CalculoPorPeriodo[[#This Row],[Jan]:[Dez]])</f>
        <v>0</v>
      </c>
      <c r="S247" s="27"/>
    </row>
    <row r="248" spans="1:19" s="14" customFormat="1" ht="15">
      <c r="A248" s="14">
        <f t="shared" si="7"/>
        <v>244</v>
      </c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26">
        <f>SUM(CalculoPorPeriodo[[#This Row],[Jan]:[Dez]])</f>
        <v>0</v>
      </c>
      <c r="S248" s="27"/>
    </row>
    <row r="249" spans="1:19" s="14" customFormat="1" ht="15">
      <c r="A249" s="14">
        <f t="shared" si="7"/>
        <v>245</v>
      </c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26">
        <f>SUM(CalculoPorPeriodo[[#This Row],[Jan]:[Dez]])</f>
        <v>0</v>
      </c>
      <c r="S249" s="27"/>
    </row>
    <row r="250" spans="1:19" s="14" customFormat="1" ht="15">
      <c r="A250" s="14">
        <f t="shared" si="7"/>
        <v>246</v>
      </c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26">
        <f>SUM(CalculoPorPeriodo[[#This Row],[Jan]:[Dez]])</f>
        <v>0</v>
      </c>
      <c r="S250" s="27"/>
    </row>
    <row r="251" spans="1:19" s="14" customFormat="1" ht="15">
      <c r="A251" s="14">
        <f t="shared" si="7"/>
        <v>247</v>
      </c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26">
        <f>SUM(CalculoPorPeriodo[[#This Row],[Jan]:[Dez]])</f>
        <v>0</v>
      </c>
      <c r="S251" s="27"/>
    </row>
    <row r="252" spans="1:19" s="14" customFormat="1" ht="15">
      <c r="A252" s="14">
        <f t="shared" si="7"/>
        <v>248</v>
      </c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26">
        <f>SUM(CalculoPorPeriodo[[#This Row],[Jan]:[Dez]])</f>
        <v>0</v>
      </c>
      <c r="S252" s="27"/>
    </row>
    <row r="253" spans="1:19" s="14" customFormat="1" ht="15">
      <c r="A253" s="14">
        <f t="shared" si="7"/>
        <v>249</v>
      </c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26">
        <f>SUM(CalculoPorPeriodo[[#This Row],[Jan]:[Dez]])</f>
        <v>0</v>
      </c>
      <c r="S253" s="27"/>
    </row>
    <row r="254" spans="1:19" s="14" customFormat="1" ht="15">
      <c r="A254" s="14">
        <f t="shared" si="7"/>
        <v>250</v>
      </c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26">
        <f>SUM(CalculoPorPeriodo[[#This Row],[Jan]:[Dez]])</f>
        <v>0</v>
      </c>
      <c r="S254" s="27"/>
    </row>
    <row r="255" spans="1:19" s="14" customFormat="1" ht="15">
      <c r="A255" s="14">
        <f t="shared" si="7"/>
        <v>251</v>
      </c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26">
        <f>SUM(CalculoPorPeriodo[[#This Row],[Jan]:[Dez]])</f>
        <v>0</v>
      </c>
      <c r="S255" s="27"/>
    </row>
    <row r="256" spans="1:19" s="14" customFormat="1" ht="15">
      <c r="A256" s="14">
        <f t="shared" si="7"/>
        <v>252</v>
      </c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26">
        <f>SUM(CalculoPorPeriodo[[#This Row],[Jan]:[Dez]])</f>
        <v>0</v>
      </c>
      <c r="S256" s="27"/>
    </row>
    <row r="257" spans="1:19" s="14" customFormat="1" ht="15">
      <c r="A257" s="14">
        <f t="shared" si="7"/>
        <v>253</v>
      </c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26">
        <f>SUM(CalculoPorPeriodo[[#This Row],[Jan]:[Dez]])</f>
        <v>0</v>
      </c>
      <c r="S257" s="27"/>
    </row>
    <row r="258" spans="1:19" s="14" customFormat="1" ht="15">
      <c r="A258" s="14">
        <f t="shared" si="7"/>
        <v>254</v>
      </c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26">
        <f>SUM(CalculoPorPeriodo[[#This Row],[Jan]:[Dez]])</f>
        <v>0</v>
      </c>
      <c r="S258" s="27"/>
    </row>
    <row r="259" spans="1:19" s="14" customFormat="1" ht="15">
      <c r="A259" s="14">
        <f t="shared" si="7"/>
        <v>255</v>
      </c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26">
        <f>SUM(CalculoPorPeriodo[[#This Row],[Jan]:[Dez]])</f>
        <v>0</v>
      </c>
      <c r="S259" s="27"/>
    </row>
    <row r="260" spans="1:19" s="14" customFormat="1" ht="15">
      <c r="A260" s="14">
        <f t="shared" si="7"/>
        <v>256</v>
      </c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26">
        <f>SUM(CalculoPorPeriodo[[#This Row],[Jan]:[Dez]])</f>
        <v>0</v>
      </c>
      <c r="S260" s="27"/>
    </row>
    <row r="261" spans="1:19" s="14" customFormat="1" ht="15">
      <c r="A261" s="14">
        <f t="shared" si="7"/>
        <v>257</v>
      </c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26">
        <f>SUM(CalculoPorPeriodo[[#This Row],[Jan]:[Dez]])</f>
        <v>0</v>
      </c>
      <c r="S261" s="27"/>
    </row>
    <row r="262" spans="1:19" s="14" customFormat="1" ht="15">
      <c r="A262" s="14">
        <f t="shared" si="7"/>
        <v>258</v>
      </c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26">
        <f>SUM(CalculoPorPeriodo[[#This Row],[Jan]:[Dez]])</f>
        <v>0</v>
      </c>
      <c r="S262" s="27"/>
    </row>
    <row r="263" spans="1:19" s="14" customFormat="1" ht="15">
      <c r="A263" s="14">
        <f t="shared" ref="A263:A326" si="8">A262+1</f>
        <v>259</v>
      </c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26">
        <f>SUM(CalculoPorPeriodo[[#This Row],[Jan]:[Dez]])</f>
        <v>0</v>
      </c>
      <c r="S263" s="27"/>
    </row>
    <row r="264" spans="1:19" s="14" customFormat="1" ht="15">
      <c r="A264" s="14">
        <f t="shared" si="8"/>
        <v>260</v>
      </c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26">
        <f>SUM(CalculoPorPeriodo[[#This Row],[Jan]:[Dez]])</f>
        <v>0</v>
      </c>
      <c r="S264" s="27"/>
    </row>
    <row r="265" spans="1:19" s="14" customFormat="1" ht="15">
      <c r="A265" s="14">
        <f t="shared" si="8"/>
        <v>261</v>
      </c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26">
        <f>SUM(CalculoPorPeriodo[[#This Row],[Jan]:[Dez]])</f>
        <v>0</v>
      </c>
      <c r="S265" s="27"/>
    </row>
    <row r="266" spans="1:19" s="14" customFormat="1" ht="15">
      <c r="A266" s="14">
        <f t="shared" si="8"/>
        <v>262</v>
      </c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26">
        <f>SUM(CalculoPorPeriodo[[#This Row],[Jan]:[Dez]])</f>
        <v>0</v>
      </c>
      <c r="S266" s="27"/>
    </row>
    <row r="267" spans="1:19" s="14" customFormat="1" ht="15">
      <c r="A267" s="14">
        <f t="shared" si="8"/>
        <v>263</v>
      </c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26">
        <f>SUM(CalculoPorPeriodo[[#This Row],[Jan]:[Dez]])</f>
        <v>0</v>
      </c>
      <c r="S267" s="27"/>
    </row>
    <row r="268" spans="1:19" s="14" customFormat="1" ht="15">
      <c r="A268" s="14">
        <f t="shared" si="8"/>
        <v>264</v>
      </c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26">
        <f>SUM(CalculoPorPeriodo[[#This Row],[Jan]:[Dez]])</f>
        <v>0</v>
      </c>
      <c r="S268" s="27"/>
    </row>
    <row r="269" spans="1:19" s="14" customFormat="1" ht="15">
      <c r="A269" s="14">
        <f t="shared" si="8"/>
        <v>265</v>
      </c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26">
        <f>SUM(CalculoPorPeriodo[[#This Row],[Jan]:[Dez]])</f>
        <v>0</v>
      </c>
      <c r="S269" s="27"/>
    </row>
    <row r="270" spans="1:19" s="14" customFormat="1" ht="15">
      <c r="A270" s="14">
        <f t="shared" si="8"/>
        <v>266</v>
      </c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26">
        <f>SUM(CalculoPorPeriodo[[#This Row],[Jan]:[Dez]])</f>
        <v>0</v>
      </c>
      <c r="S270" s="27"/>
    </row>
    <row r="271" spans="1:19" s="14" customFormat="1" ht="15">
      <c r="A271" s="14">
        <f t="shared" si="8"/>
        <v>267</v>
      </c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26">
        <f>SUM(CalculoPorPeriodo[[#This Row],[Jan]:[Dez]])</f>
        <v>0</v>
      </c>
      <c r="S271" s="27"/>
    </row>
    <row r="272" spans="1:19" s="14" customFormat="1" ht="15">
      <c r="A272" s="14">
        <f t="shared" si="8"/>
        <v>268</v>
      </c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26">
        <f>SUM(CalculoPorPeriodo[[#This Row],[Jan]:[Dez]])</f>
        <v>0</v>
      </c>
      <c r="S272" s="27"/>
    </row>
    <row r="273" spans="1:19" s="14" customFormat="1" ht="15">
      <c r="A273" s="14">
        <f t="shared" si="8"/>
        <v>269</v>
      </c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26">
        <f>SUM(CalculoPorPeriodo[[#This Row],[Jan]:[Dez]])</f>
        <v>0</v>
      </c>
      <c r="S273" s="27"/>
    </row>
    <row r="274" spans="1:19" s="14" customFormat="1" ht="15">
      <c r="A274" s="14">
        <f t="shared" si="8"/>
        <v>270</v>
      </c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26">
        <f>SUM(CalculoPorPeriodo[[#This Row],[Jan]:[Dez]])</f>
        <v>0</v>
      </c>
      <c r="S274" s="27"/>
    </row>
    <row r="275" spans="1:19" s="14" customFormat="1" ht="15">
      <c r="A275" s="14">
        <f t="shared" si="8"/>
        <v>271</v>
      </c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26">
        <f>SUM(CalculoPorPeriodo[[#This Row],[Jan]:[Dez]])</f>
        <v>0</v>
      </c>
      <c r="S275" s="27"/>
    </row>
    <row r="276" spans="1:19" s="14" customFormat="1" ht="15">
      <c r="A276" s="14">
        <f t="shared" si="8"/>
        <v>272</v>
      </c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26">
        <f>SUM(CalculoPorPeriodo[[#This Row],[Jan]:[Dez]])</f>
        <v>0</v>
      </c>
      <c r="S276" s="27"/>
    </row>
    <row r="277" spans="1:19" s="14" customFormat="1" ht="15">
      <c r="A277" s="14">
        <f t="shared" si="8"/>
        <v>273</v>
      </c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26">
        <f>SUM(CalculoPorPeriodo[[#This Row],[Jan]:[Dez]])</f>
        <v>0</v>
      </c>
      <c r="S277" s="27"/>
    </row>
    <row r="278" spans="1:19" s="14" customFormat="1" ht="15">
      <c r="A278" s="14">
        <f t="shared" si="8"/>
        <v>274</v>
      </c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26">
        <f>SUM(CalculoPorPeriodo[[#This Row],[Jan]:[Dez]])</f>
        <v>0</v>
      </c>
      <c r="S278" s="27"/>
    </row>
    <row r="279" spans="1:19" s="14" customFormat="1" ht="15">
      <c r="A279" s="14">
        <f t="shared" si="8"/>
        <v>275</v>
      </c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26">
        <f>SUM(CalculoPorPeriodo[[#This Row],[Jan]:[Dez]])</f>
        <v>0</v>
      </c>
      <c r="S279" s="27"/>
    </row>
    <row r="280" spans="1:19" s="14" customFormat="1" ht="15">
      <c r="A280" s="14">
        <f t="shared" si="8"/>
        <v>276</v>
      </c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26">
        <f>SUM(CalculoPorPeriodo[[#This Row],[Jan]:[Dez]])</f>
        <v>0</v>
      </c>
      <c r="S280" s="27"/>
    </row>
    <row r="281" spans="1:19" s="14" customFormat="1" ht="15">
      <c r="A281" s="14">
        <f t="shared" si="8"/>
        <v>277</v>
      </c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26">
        <f>SUM(CalculoPorPeriodo[[#This Row],[Jan]:[Dez]])</f>
        <v>0</v>
      </c>
      <c r="S281" s="27"/>
    </row>
    <row r="282" spans="1:19" s="14" customFormat="1" ht="15">
      <c r="A282" s="14">
        <f t="shared" si="8"/>
        <v>278</v>
      </c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26">
        <f>SUM(CalculoPorPeriodo[[#This Row],[Jan]:[Dez]])</f>
        <v>0</v>
      </c>
      <c r="S282" s="27"/>
    </row>
    <row r="283" spans="1:19" s="14" customFormat="1" ht="15">
      <c r="A283" s="14">
        <f t="shared" si="8"/>
        <v>279</v>
      </c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26">
        <f>SUM(CalculoPorPeriodo[[#This Row],[Jan]:[Dez]])</f>
        <v>0</v>
      </c>
      <c r="S283" s="27"/>
    </row>
    <row r="284" spans="1:19" s="14" customFormat="1" ht="15">
      <c r="A284" s="14">
        <f t="shared" si="8"/>
        <v>280</v>
      </c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26">
        <f>SUM(CalculoPorPeriodo[[#This Row],[Jan]:[Dez]])</f>
        <v>0</v>
      </c>
      <c r="S284" s="27"/>
    </row>
    <row r="285" spans="1:19" s="14" customFormat="1" ht="15">
      <c r="A285" s="14">
        <f t="shared" si="8"/>
        <v>281</v>
      </c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26">
        <f>SUM(CalculoPorPeriodo[[#This Row],[Jan]:[Dez]])</f>
        <v>0</v>
      </c>
      <c r="S285" s="27"/>
    </row>
    <row r="286" spans="1:19" s="14" customFormat="1" ht="15">
      <c r="A286" s="14">
        <f t="shared" si="8"/>
        <v>282</v>
      </c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26">
        <f>SUM(CalculoPorPeriodo[[#This Row],[Jan]:[Dez]])</f>
        <v>0</v>
      </c>
      <c r="S286" s="27"/>
    </row>
    <row r="287" spans="1:19" s="14" customFormat="1" ht="15">
      <c r="A287" s="14">
        <f t="shared" si="8"/>
        <v>283</v>
      </c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26">
        <f>SUM(CalculoPorPeriodo[[#This Row],[Jan]:[Dez]])</f>
        <v>0</v>
      </c>
      <c r="S287" s="27"/>
    </row>
    <row r="288" spans="1:19" s="14" customFormat="1" ht="15">
      <c r="A288" s="14">
        <f t="shared" si="8"/>
        <v>284</v>
      </c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26">
        <f>SUM(CalculoPorPeriodo[[#This Row],[Jan]:[Dez]])</f>
        <v>0</v>
      </c>
      <c r="S288" s="27"/>
    </row>
    <row r="289" spans="1:19" s="14" customFormat="1" ht="15">
      <c r="A289" s="14">
        <f t="shared" si="8"/>
        <v>285</v>
      </c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26">
        <f>SUM(CalculoPorPeriodo[[#This Row],[Jan]:[Dez]])</f>
        <v>0</v>
      </c>
      <c r="S289" s="27"/>
    </row>
    <row r="290" spans="1:19" s="14" customFormat="1" ht="15">
      <c r="A290" s="14">
        <f t="shared" si="8"/>
        <v>286</v>
      </c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26">
        <f>SUM(CalculoPorPeriodo[[#This Row],[Jan]:[Dez]])</f>
        <v>0</v>
      </c>
      <c r="S290" s="27"/>
    </row>
    <row r="291" spans="1:19" s="14" customFormat="1" ht="15">
      <c r="A291" s="14">
        <f t="shared" si="8"/>
        <v>287</v>
      </c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26">
        <f>SUM(CalculoPorPeriodo[[#This Row],[Jan]:[Dez]])</f>
        <v>0</v>
      </c>
      <c r="S291" s="27"/>
    </row>
    <row r="292" spans="1:19" s="14" customFormat="1" ht="15">
      <c r="A292" s="14">
        <f t="shared" si="8"/>
        <v>288</v>
      </c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26">
        <f>SUM(CalculoPorPeriodo[[#This Row],[Jan]:[Dez]])</f>
        <v>0</v>
      </c>
      <c r="S292" s="27"/>
    </row>
    <row r="293" spans="1:19" s="14" customFormat="1" ht="15">
      <c r="A293" s="14">
        <f t="shared" si="8"/>
        <v>289</v>
      </c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26">
        <f>SUM(CalculoPorPeriodo[[#This Row],[Jan]:[Dez]])</f>
        <v>0</v>
      </c>
      <c r="S293" s="27"/>
    </row>
    <row r="294" spans="1:19" s="14" customFormat="1" ht="15">
      <c r="A294" s="14">
        <f t="shared" si="8"/>
        <v>290</v>
      </c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26">
        <f>SUM(CalculoPorPeriodo[[#This Row],[Jan]:[Dez]])</f>
        <v>0</v>
      </c>
      <c r="S294" s="27"/>
    </row>
    <row r="295" spans="1:19" s="14" customFormat="1" ht="15">
      <c r="A295" s="14">
        <f t="shared" si="8"/>
        <v>291</v>
      </c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26">
        <f>SUM(CalculoPorPeriodo[[#This Row],[Jan]:[Dez]])</f>
        <v>0</v>
      </c>
      <c r="S295" s="27"/>
    </row>
    <row r="296" spans="1:19" s="14" customFormat="1" ht="15">
      <c r="A296" s="14">
        <f t="shared" si="8"/>
        <v>292</v>
      </c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26">
        <f>SUM(CalculoPorPeriodo[[#This Row],[Jan]:[Dez]])</f>
        <v>0</v>
      </c>
      <c r="S296" s="27"/>
    </row>
    <row r="297" spans="1:19" s="14" customFormat="1" ht="15">
      <c r="A297" s="14">
        <f t="shared" si="8"/>
        <v>293</v>
      </c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26">
        <f>SUM(CalculoPorPeriodo[[#This Row],[Jan]:[Dez]])</f>
        <v>0</v>
      </c>
      <c r="S297" s="27"/>
    </row>
    <row r="298" spans="1:19" s="14" customFormat="1" ht="15">
      <c r="A298" s="14">
        <f t="shared" si="8"/>
        <v>294</v>
      </c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26">
        <f>SUM(CalculoPorPeriodo[[#This Row],[Jan]:[Dez]])</f>
        <v>0</v>
      </c>
      <c r="S298" s="27"/>
    </row>
    <row r="299" spans="1:19" s="14" customFormat="1" ht="15">
      <c r="A299" s="14">
        <f t="shared" si="8"/>
        <v>295</v>
      </c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26">
        <f>SUM(CalculoPorPeriodo[[#This Row],[Jan]:[Dez]])</f>
        <v>0</v>
      </c>
      <c r="S299" s="27"/>
    </row>
    <row r="300" spans="1:19" s="14" customFormat="1" ht="15">
      <c r="A300" s="14">
        <f t="shared" si="8"/>
        <v>296</v>
      </c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26">
        <f>SUM(CalculoPorPeriodo[[#This Row],[Jan]:[Dez]])</f>
        <v>0</v>
      </c>
      <c r="S300" s="27"/>
    </row>
    <row r="301" spans="1:19" s="14" customFormat="1" ht="15">
      <c r="A301" s="14">
        <f t="shared" si="8"/>
        <v>297</v>
      </c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26">
        <f>SUM(CalculoPorPeriodo[[#This Row],[Jan]:[Dez]])</f>
        <v>0</v>
      </c>
      <c r="S301" s="27"/>
    </row>
    <row r="302" spans="1:19" s="14" customFormat="1" ht="15">
      <c r="A302" s="14">
        <f t="shared" si="8"/>
        <v>298</v>
      </c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26">
        <f>SUM(CalculoPorPeriodo[[#This Row],[Jan]:[Dez]])</f>
        <v>0</v>
      </c>
      <c r="S302" s="27"/>
    </row>
    <row r="303" spans="1:19" s="14" customFormat="1" ht="15">
      <c r="A303" s="14">
        <f t="shared" si="8"/>
        <v>299</v>
      </c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26">
        <f>SUM(CalculoPorPeriodo[[#This Row],[Jan]:[Dez]])</f>
        <v>0</v>
      </c>
      <c r="S303" s="27"/>
    </row>
    <row r="304" spans="1:19" s="14" customFormat="1" ht="15">
      <c r="A304" s="14">
        <f t="shared" si="8"/>
        <v>300</v>
      </c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26">
        <f>SUM(CalculoPorPeriodo[[#This Row],[Jan]:[Dez]])</f>
        <v>0</v>
      </c>
      <c r="S304" s="27"/>
    </row>
    <row r="305" spans="1:19" s="14" customFormat="1" ht="15">
      <c r="A305" s="14">
        <f t="shared" si="8"/>
        <v>301</v>
      </c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26">
        <f>SUM(CalculoPorPeriodo[[#This Row],[Jan]:[Dez]])</f>
        <v>0</v>
      </c>
      <c r="S305" s="27"/>
    </row>
    <row r="306" spans="1:19" s="14" customFormat="1" ht="15">
      <c r="A306" s="14">
        <f t="shared" si="8"/>
        <v>302</v>
      </c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26">
        <f>SUM(CalculoPorPeriodo[[#This Row],[Jan]:[Dez]])</f>
        <v>0</v>
      </c>
      <c r="S306" s="27"/>
    </row>
    <row r="307" spans="1:19" s="14" customFormat="1" ht="15">
      <c r="A307" s="14">
        <f t="shared" si="8"/>
        <v>303</v>
      </c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26">
        <f>SUM(CalculoPorPeriodo[[#This Row],[Jan]:[Dez]])</f>
        <v>0</v>
      </c>
      <c r="S307" s="27"/>
    </row>
    <row r="308" spans="1:19" s="14" customFormat="1" ht="15">
      <c r="A308" s="14">
        <f t="shared" si="8"/>
        <v>304</v>
      </c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26">
        <f>SUM(CalculoPorPeriodo[[#This Row],[Jan]:[Dez]])</f>
        <v>0</v>
      </c>
      <c r="S308" s="27"/>
    </row>
    <row r="309" spans="1:19" s="14" customFormat="1" ht="15">
      <c r="A309" s="14">
        <f t="shared" si="8"/>
        <v>305</v>
      </c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26">
        <f>SUM(CalculoPorPeriodo[[#This Row],[Jan]:[Dez]])</f>
        <v>0</v>
      </c>
      <c r="S309" s="27"/>
    </row>
    <row r="310" spans="1:19" s="14" customFormat="1" ht="15">
      <c r="A310" s="14">
        <f t="shared" si="8"/>
        <v>306</v>
      </c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26">
        <f>SUM(CalculoPorPeriodo[[#This Row],[Jan]:[Dez]])</f>
        <v>0</v>
      </c>
      <c r="S310" s="27"/>
    </row>
    <row r="311" spans="1:19" s="14" customFormat="1" ht="15">
      <c r="A311" s="14">
        <f t="shared" si="8"/>
        <v>307</v>
      </c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26">
        <f>SUM(CalculoPorPeriodo[[#This Row],[Jan]:[Dez]])</f>
        <v>0</v>
      </c>
      <c r="S311" s="27"/>
    </row>
    <row r="312" spans="1:19" s="14" customFormat="1" ht="15">
      <c r="A312" s="14">
        <f t="shared" si="8"/>
        <v>308</v>
      </c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26">
        <f>SUM(CalculoPorPeriodo[[#This Row],[Jan]:[Dez]])</f>
        <v>0</v>
      </c>
      <c r="S312" s="27"/>
    </row>
    <row r="313" spans="1:19" s="14" customFormat="1" ht="15">
      <c r="A313" s="14">
        <f t="shared" si="8"/>
        <v>309</v>
      </c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26">
        <f>SUM(CalculoPorPeriodo[[#This Row],[Jan]:[Dez]])</f>
        <v>0</v>
      </c>
      <c r="S313" s="27"/>
    </row>
    <row r="314" spans="1:19" s="14" customFormat="1" ht="15">
      <c r="A314" s="14">
        <f t="shared" si="8"/>
        <v>310</v>
      </c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26">
        <f>SUM(CalculoPorPeriodo[[#This Row],[Jan]:[Dez]])</f>
        <v>0</v>
      </c>
      <c r="S314" s="27"/>
    </row>
    <row r="315" spans="1:19" s="14" customFormat="1" ht="15">
      <c r="A315" s="14">
        <f t="shared" si="8"/>
        <v>311</v>
      </c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26">
        <f>SUM(CalculoPorPeriodo[[#This Row],[Jan]:[Dez]])</f>
        <v>0</v>
      </c>
      <c r="S315" s="27"/>
    </row>
    <row r="316" spans="1:19" s="14" customFormat="1" ht="15">
      <c r="A316" s="14">
        <f t="shared" si="8"/>
        <v>312</v>
      </c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26">
        <f>SUM(CalculoPorPeriodo[[#This Row],[Jan]:[Dez]])</f>
        <v>0</v>
      </c>
      <c r="S316" s="27"/>
    </row>
    <row r="317" spans="1:19" s="14" customFormat="1" ht="15">
      <c r="A317" s="14">
        <f t="shared" si="8"/>
        <v>313</v>
      </c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26">
        <f>SUM(CalculoPorPeriodo[[#This Row],[Jan]:[Dez]])</f>
        <v>0</v>
      </c>
      <c r="S317" s="27"/>
    </row>
    <row r="318" spans="1:19" s="14" customFormat="1" ht="15">
      <c r="A318" s="14">
        <f t="shared" si="8"/>
        <v>314</v>
      </c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26">
        <f>SUM(CalculoPorPeriodo[[#This Row],[Jan]:[Dez]])</f>
        <v>0</v>
      </c>
      <c r="S318" s="27"/>
    </row>
    <row r="319" spans="1:19" s="14" customFormat="1" ht="15">
      <c r="A319" s="14">
        <f t="shared" si="8"/>
        <v>315</v>
      </c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26">
        <f>SUM(CalculoPorPeriodo[[#This Row],[Jan]:[Dez]])</f>
        <v>0</v>
      </c>
      <c r="S319" s="27"/>
    </row>
    <row r="320" spans="1:19" s="14" customFormat="1" ht="15">
      <c r="A320" s="14">
        <f t="shared" si="8"/>
        <v>316</v>
      </c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26">
        <f>SUM(CalculoPorPeriodo[[#This Row],[Jan]:[Dez]])</f>
        <v>0</v>
      </c>
      <c r="S320" s="27"/>
    </row>
    <row r="321" spans="1:19" s="14" customFormat="1" ht="15">
      <c r="A321" s="14">
        <f t="shared" si="8"/>
        <v>317</v>
      </c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26">
        <f>SUM(CalculoPorPeriodo[[#This Row],[Jan]:[Dez]])</f>
        <v>0</v>
      </c>
      <c r="S321" s="27"/>
    </row>
    <row r="322" spans="1:19" s="14" customFormat="1" ht="15">
      <c r="A322" s="14">
        <f t="shared" si="8"/>
        <v>318</v>
      </c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26">
        <f>SUM(CalculoPorPeriodo[[#This Row],[Jan]:[Dez]])</f>
        <v>0</v>
      </c>
      <c r="S322" s="27"/>
    </row>
    <row r="323" spans="1:19" s="14" customFormat="1" ht="15">
      <c r="A323" s="14">
        <f t="shared" si="8"/>
        <v>319</v>
      </c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26">
        <f>SUM(CalculoPorPeriodo[[#This Row],[Jan]:[Dez]])</f>
        <v>0</v>
      </c>
      <c r="S323" s="27"/>
    </row>
    <row r="324" spans="1:19" s="14" customFormat="1" ht="15">
      <c r="A324" s="14">
        <f t="shared" si="8"/>
        <v>320</v>
      </c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26">
        <f>SUM(CalculoPorPeriodo[[#This Row],[Jan]:[Dez]])</f>
        <v>0</v>
      </c>
      <c r="S324" s="27"/>
    </row>
    <row r="325" spans="1:19" s="14" customFormat="1" ht="15">
      <c r="A325" s="14">
        <f t="shared" si="8"/>
        <v>321</v>
      </c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26">
        <f>SUM(CalculoPorPeriodo[[#This Row],[Jan]:[Dez]])</f>
        <v>0</v>
      </c>
      <c r="S325" s="27"/>
    </row>
    <row r="326" spans="1:19" s="14" customFormat="1" ht="15">
      <c r="A326" s="14">
        <f t="shared" si="8"/>
        <v>322</v>
      </c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26">
        <f>SUM(CalculoPorPeriodo[[#This Row],[Jan]:[Dez]])</f>
        <v>0</v>
      </c>
      <c r="S326" s="27"/>
    </row>
    <row r="327" spans="1:19" s="14" customFormat="1" ht="15">
      <c r="A327" s="14">
        <f t="shared" ref="A327:A363" si="9">A326+1</f>
        <v>323</v>
      </c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26">
        <f>SUM(CalculoPorPeriodo[[#This Row],[Jan]:[Dez]])</f>
        <v>0</v>
      </c>
      <c r="S327" s="27"/>
    </row>
    <row r="328" spans="1:19" s="14" customFormat="1" ht="15">
      <c r="A328" s="14">
        <f t="shared" si="9"/>
        <v>324</v>
      </c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26">
        <f>SUM(CalculoPorPeriodo[[#This Row],[Jan]:[Dez]])</f>
        <v>0</v>
      </c>
      <c r="S328" s="27"/>
    </row>
    <row r="329" spans="1:19" s="14" customFormat="1" ht="15">
      <c r="A329" s="14">
        <f t="shared" si="9"/>
        <v>325</v>
      </c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26">
        <f>SUM(CalculoPorPeriodo[[#This Row],[Jan]:[Dez]])</f>
        <v>0</v>
      </c>
      <c r="S329" s="27"/>
    </row>
    <row r="330" spans="1:19" s="14" customFormat="1" ht="15">
      <c r="A330" s="14">
        <f t="shared" si="9"/>
        <v>326</v>
      </c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26">
        <f>SUM(CalculoPorPeriodo[[#This Row],[Jan]:[Dez]])</f>
        <v>0</v>
      </c>
      <c r="S330" s="27"/>
    </row>
    <row r="331" spans="1:19" s="14" customFormat="1" ht="15">
      <c r="A331" s="14">
        <f t="shared" si="9"/>
        <v>327</v>
      </c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26">
        <f>SUM(CalculoPorPeriodo[[#This Row],[Jan]:[Dez]])</f>
        <v>0</v>
      </c>
      <c r="S331" s="27"/>
    </row>
    <row r="332" spans="1:19" s="14" customFormat="1" ht="15">
      <c r="A332" s="14">
        <f t="shared" si="9"/>
        <v>328</v>
      </c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26">
        <f>SUM(CalculoPorPeriodo[[#This Row],[Jan]:[Dez]])</f>
        <v>0</v>
      </c>
      <c r="S332" s="27"/>
    </row>
    <row r="333" spans="1:19" s="14" customFormat="1" ht="15">
      <c r="A333" s="14">
        <f t="shared" si="9"/>
        <v>329</v>
      </c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26">
        <f>SUM(CalculoPorPeriodo[[#This Row],[Jan]:[Dez]])</f>
        <v>0</v>
      </c>
      <c r="S333" s="27"/>
    </row>
    <row r="334" spans="1:19" s="14" customFormat="1" ht="15">
      <c r="A334" s="14">
        <f t="shared" si="9"/>
        <v>330</v>
      </c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26">
        <f>SUM(CalculoPorPeriodo[[#This Row],[Jan]:[Dez]])</f>
        <v>0</v>
      </c>
      <c r="S334" s="27"/>
    </row>
    <row r="335" spans="1:19" s="14" customFormat="1" ht="15">
      <c r="A335" s="14">
        <f t="shared" si="9"/>
        <v>331</v>
      </c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26">
        <f>SUM(CalculoPorPeriodo[[#This Row],[Jan]:[Dez]])</f>
        <v>0</v>
      </c>
      <c r="S335" s="27"/>
    </row>
    <row r="336" spans="1:19" s="14" customFormat="1" ht="15">
      <c r="A336" s="14">
        <f t="shared" si="9"/>
        <v>332</v>
      </c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26">
        <f>SUM(CalculoPorPeriodo[[#This Row],[Jan]:[Dez]])</f>
        <v>0</v>
      </c>
      <c r="S336" s="27"/>
    </row>
    <row r="337" spans="1:19" s="14" customFormat="1" ht="15">
      <c r="A337" s="14">
        <f t="shared" si="9"/>
        <v>333</v>
      </c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26">
        <f>SUM(CalculoPorPeriodo[[#This Row],[Jan]:[Dez]])</f>
        <v>0</v>
      </c>
      <c r="S337" s="27"/>
    </row>
    <row r="338" spans="1:19" s="14" customFormat="1" ht="15">
      <c r="A338" s="14">
        <f t="shared" si="9"/>
        <v>334</v>
      </c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26">
        <f>SUM(CalculoPorPeriodo[[#This Row],[Jan]:[Dez]])</f>
        <v>0</v>
      </c>
      <c r="S338" s="27"/>
    </row>
    <row r="339" spans="1:19" s="14" customFormat="1" ht="15">
      <c r="A339" s="14">
        <f t="shared" si="9"/>
        <v>335</v>
      </c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26">
        <f>SUM(CalculoPorPeriodo[[#This Row],[Jan]:[Dez]])</f>
        <v>0</v>
      </c>
      <c r="S339" s="27"/>
    </row>
    <row r="340" spans="1:19" s="14" customFormat="1" ht="15">
      <c r="A340" s="14">
        <f t="shared" si="9"/>
        <v>336</v>
      </c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26">
        <f>SUM(CalculoPorPeriodo[[#This Row],[Jan]:[Dez]])</f>
        <v>0</v>
      </c>
      <c r="S340" s="27"/>
    </row>
    <row r="341" spans="1:19" s="14" customFormat="1" ht="15">
      <c r="A341" s="14">
        <f t="shared" si="9"/>
        <v>337</v>
      </c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26">
        <f>SUM(CalculoPorPeriodo[[#This Row],[Jan]:[Dez]])</f>
        <v>0</v>
      </c>
      <c r="S341" s="27"/>
    </row>
    <row r="342" spans="1:19" s="14" customFormat="1" ht="15">
      <c r="A342" s="14">
        <f t="shared" si="9"/>
        <v>338</v>
      </c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26">
        <f>SUM(CalculoPorPeriodo[[#This Row],[Jan]:[Dez]])</f>
        <v>0</v>
      </c>
      <c r="S342" s="27"/>
    </row>
    <row r="343" spans="1:19" s="14" customFormat="1" ht="15">
      <c r="A343" s="14">
        <f t="shared" si="9"/>
        <v>339</v>
      </c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26">
        <f>SUM(CalculoPorPeriodo[[#This Row],[Jan]:[Dez]])</f>
        <v>0</v>
      </c>
      <c r="S343" s="27"/>
    </row>
    <row r="344" spans="1:19" s="14" customFormat="1" ht="15">
      <c r="A344" s="14">
        <f t="shared" si="9"/>
        <v>340</v>
      </c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26">
        <f>SUM(CalculoPorPeriodo[[#This Row],[Jan]:[Dez]])</f>
        <v>0</v>
      </c>
      <c r="S344" s="27"/>
    </row>
    <row r="345" spans="1:19" s="14" customFormat="1" ht="15">
      <c r="A345" s="14">
        <f t="shared" si="9"/>
        <v>341</v>
      </c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26">
        <f>SUM(CalculoPorPeriodo[[#This Row],[Jan]:[Dez]])</f>
        <v>0</v>
      </c>
      <c r="S345" s="27"/>
    </row>
    <row r="346" spans="1:19" s="14" customFormat="1" ht="15">
      <c r="A346" s="14">
        <f t="shared" si="9"/>
        <v>342</v>
      </c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26">
        <f>SUM(CalculoPorPeriodo[[#This Row],[Jan]:[Dez]])</f>
        <v>0</v>
      </c>
      <c r="S346" s="27"/>
    </row>
    <row r="347" spans="1:19" s="14" customFormat="1" ht="15">
      <c r="A347" s="14">
        <f t="shared" si="9"/>
        <v>343</v>
      </c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26">
        <f>SUM(CalculoPorPeriodo[[#This Row],[Jan]:[Dez]])</f>
        <v>0</v>
      </c>
      <c r="S347" s="27"/>
    </row>
    <row r="348" spans="1:19" s="14" customFormat="1" ht="15">
      <c r="A348" s="14">
        <f t="shared" si="9"/>
        <v>344</v>
      </c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26">
        <f>SUM(CalculoPorPeriodo[[#This Row],[Jan]:[Dez]])</f>
        <v>0</v>
      </c>
      <c r="S348" s="27"/>
    </row>
    <row r="349" spans="1:19" s="14" customFormat="1" ht="15">
      <c r="A349" s="14">
        <f t="shared" si="9"/>
        <v>345</v>
      </c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26">
        <f>SUM(CalculoPorPeriodo[[#This Row],[Jan]:[Dez]])</f>
        <v>0</v>
      </c>
      <c r="S349" s="27"/>
    </row>
    <row r="350" spans="1:19" s="14" customFormat="1" ht="15">
      <c r="A350" s="14">
        <f t="shared" si="9"/>
        <v>346</v>
      </c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26">
        <f>SUM(CalculoPorPeriodo[[#This Row],[Jan]:[Dez]])</f>
        <v>0</v>
      </c>
      <c r="S350" s="27"/>
    </row>
    <row r="351" spans="1:19" s="14" customFormat="1" ht="15">
      <c r="A351" s="14">
        <f t="shared" si="9"/>
        <v>347</v>
      </c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26">
        <f>SUM(CalculoPorPeriodo[[#This Row],[Jan]:[Dez]])</f>
        <v>0</v>
      </c>
      <c r="S351" s="27"/>
    </row>
    <row r="352" spans="1:19" s="14" customFormat="1" ht="15">
      <c r="A352" s="14">
        <f t="shared" si="9"/>
        <v>348</v>
      </c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26">
        <f>SUM(CalculoPorPeriodo[[#This Row],[Jan]:[Dez]])</f>
        <v>0</v>
      </c>
      <c r="S352" s="27"/>
    </row>
    <row r="353" spans="1:19" s="14" customFormat="1" ht="15">
      <c r="A353" s="14">
        <f t="shared" si="9"/>
        <v>349</v>
      </c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26">
        <f>SUM(CalculoPorPeriodo[[#This Row],[Jan]:[Dez]])</f>
        <v>0</v>
      </c>
      <c r="S353" s="27"/>
    </row>
    <row r="354" spans="1:19" s="14" customFormat="1" ht="15">
      <c r="A354" s="14">
        <f t="shared" si="9"/>
        <v>350</v>
      </c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26">
        <f>SUM(CalculoPorPeriodo[[#This Row],[Jan]:[Dez]])</f>
        <v>0</v>
      </c>
      <c r="S354" s="27"/>
    </row>
    <row r="355" spans="1:19" s="14" customFormat="1" ht="15">
      <c r="A355" s="14">
        <f t="shared" si="9"/>
        <v>351</v>
      </c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26">
        <f>SUM(CalculoPorPeriodo[[#This Row],[Jan]:[Dez]])</f>
        <v>0</v>
      </c>
      <c r="S355" s="27"/>
    </row>
    <row r="356" spans="1:19" s="14" customFormat="1" ht="15">
      <c r="A356" s="14">
        <f t="shared" si="9"/>
        <v>352</v>
      </c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26">
        <f>SUM(CalculoPorPeriodo[[#This Row],[Jan]:[Dez]])</f>
        <v>0</v>
      </c>
      <c r="S356" s="27"/>
    </row>
    <row r="357" spans="1:19" s="14" customFormat="1" ht="15">
      <c r="A357" s="14">
        <f t="shared" si="9"/>
        <v>353</v>
      </c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26">
        <f>SUM(CalculoPorPeriodo[[#This Row],[Jan]:[Dez]])</f>
        <v>0</v>
      </c>
      <c r="S357" s="27"/>
    </row>
    <row r="358" spans="1:19" s="14" customFormat="1" ht="15">
      <c r="A358" s="14">
        <f t="shared" si="9"/>
        <v>354</v>
      </c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26">
        <f>SUM(CalculoPorPeriodo[[#This Row],[Jan]:[Dez]])</f>
        <v>0</v>
      </c>
      <c r="S358" s="27"/>
    </row>
    <row r="359" spans="1:19" s="14" customFormat="1" ht="15">
      <c r="A359" s="14">
        <f t="shared" si="9"/>
        <v>355</v>
      </c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26">
        <f>SUM(CalculoPorPeriodo[[#This Row],[Jan]:[Dez]])</f>
        <v>0</v>
      </c>
      <c r="S359" s="27"/>
    </row>
    <row r="360" spans="1:19" s="14" customFormat="1" ht="15">
      <c r="A360" s="14">
        <f t="shared" si="9"/>
        <v>356</v>
      </c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26">
        <f>SUM(CalculoPorPeriodo[[#This Row],[Jan]:[Dez]])</f>
        <v>0</v>
      </c>
      <c r="S360" s="27"/>
    </row>
    <row r="361" spans="1:19" s="14" customFormat="1" ht="15">
      <c r="A361" s="14">
        <f t="shared" si="9"/>
        <v>357</v>
      </c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26">
        <f>SUM(CalculoPorPeriodo[[#This Row],[Jan]:[Dez]])</f>
        <v>0</v>
      </c>
      <c r="S361" s="27"/>
    </row>
    <row r="362" spans="1:19" s="14" customFormat="1" ht="15">
      <c r="A362" s="14">
        <f t="shared" si="9"/>
        <v>358</v>
      </c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26">
        <f>SUM(CalculoPorPeriodo[[#This Row],[Jan]:[Dez]])</f>
        <v>0</v>
      </c>
      <c r="S362" s="27"/>
    </row>
    <row r="363" spans="1:19" s="14" customFormat="1" ht="15">
      <c r="A363" s="14">
        <f t="shared" si="9"/>
        <v>359</v>
      </c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26">
        <f>SUM(CalculoPorPeriodo[[#This Row],[Jan]:[Dez]])</f>
        <v>0</v>
      </c>
      <c r="S363" s="27"/>
    </row>
    <row r="364" spans="1:19" s="14" customFormat="1" ht="15">
      <c r="A364" s="14">
        <f>A363+1</f>
        <v>360</v>
      </c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26">
        <f>SUM(CalculoPorPeriodo[[#This Row],[Jan]:[Dez]])</f>
        <v>0</v>
      </c>
      <c r="S364" s="27"/>
    </row>
  </sheetData>
  <sheetProtection algorithmName="SHA-512" hashValue="/Quc2qU8sj1HpvDpj0lfZeryLwJXVw9+HrR4ICp1ZU3M8m6h2jzaKjxtWMmWEzGigxRQPBu44DMQ80/rKtbUOA==" saltValue="RvHMaywK/CVpYsCN6L0UGA==" spinCount="100000" sheet="1" objects="1" scenarios="1" selectLockedCells="1"/>
  <mergeCells count="2">
    <mergeCell ref="A2:T2"/>
    <mergeCell ref="A3:T3"/>
  </mergeCells>
  <phoneticPr fontId="3" type="noConversion"/>
  <dataValidations count="1">
    <dataValidation type="list" allowBlank="1" showInputMessage="1" showErrorMessage="1" sqref="C5:C364" xr:uid="{AFEB790A-E74D-49D5-ADE5-1A23A6B8F7C8}">
      <formula1>"Ciclo Anual ou Safra, Um único mês, Mais de um mês, Período específico ou por lote"</formula1>
    </dataValidation>
  </dataValidations>
  <pageMargins left="0.7" right="0.7" top="0.75" bottom="0.75" header="0.3" footer="0.3"/>
  <pageSetup paperSize="9" orientation="portrait" r:id="rId1"/>
  <headerFooter>
    <oddHeader>&amp;L&amp;"Aptos"&amp;10&amp;K000000 PÚBLICO&amp;1#_x000D_</oddHeader>
    <oddFooter>&amp;L_x000D_&amp;1#&amp;"Aptos"&amp;10&amp;K000000 PÚBLICO</oddFooter>
  </headerFooter>
  <drawing r:id="rId2"/>
  <legacy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83D9-F86E-430C-806E-7B68BC1E2D56}">
  <sheetPr>
    <tabColor rgb="FF49479D"/>
  </sheetPr>
  <dimension ref="B3:C8"/>
  <sheetViews>
    <sheetView showGridLines="0" workbookViewId="0">
      <selection activeCell="C5" sqref="C5"/>
    </sheetView>
  </sheetViews>
  <sheetFormatPr defaultRowHeight="14.25"/>
  <cols>
    <col min="2" max="2" width="45.875" customWidth="1"/>
    <col min="3" max="3" width="36.75" customWidth="1"/>
  </cols>
  <sheetData>
    <row r="3" spans="2:3" ht="56.25" customHeight="1"/>
    <row r="4" spans="2:3" ht="25.5" customHeight="1">
      <c r="B4" s="8" t="s">
        <v>49</v>
      </c>
      <c r="C4" s="8" t="s">
        <v>35</v>
      </c>
    </row>
    <row r="5" spans="2:3" ht="40.5" customHeight="1">
      <c r="B5" s="9" t="s">
        <v>29</v>
      </c>
      <c r="C5" s="10">
        <f>SUM('Cálculo por Período'!S:S)</f>
        <v>161704.5</v>
      </c>
    </row>
    <row r="6" spans="2:3" ht="40.5" customHeight="1">
      <c r="B6" s="11" t="s">
        <v>30</v>
      </c>
      <c r="C6" s="12">
        <f>C5*12</f>
        <v>1940454</v>
      </c>
    </row>
    <row r="7" spans="2:3" ht="40.5" customHeight="1">
      <c r="B7" s="11" t="s">
        <v>31</v>
      </c>
      <c r="C7" s="11">
        <f>COUNTIF(B5:B1000,"&lt;&gt;")</f>
        <v>3</v>
      </c>
    </row>
    <row r="8" spans="2:3" ht="40.5" customHeight="1">
      <c r="B8" s="1"/>
      <c r="C8" s="1"/>
    </row>
  </sheetData>
  <sheetProtection algorithmName="SHA-512" hashValue="PLSPZVYAwTKVqGCPrq03p5lw0V00yepuP+m0qXG/G0HvyXUtRWliEML0oEoeLzLetZiTZefI2PLa0Cp+gKSPGA==" saltValue="QklOA5KIAZcu9HuaBToojg==" spinCount="100000" sheet="1" objects="1" scenarios="1" selectLockedCells="1" selectUnlockedCells="1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1A00-7C4F-4E6F-9B10-3B00F0D010BD}">
  <sheetPr>
    <tabColor rgb="FF7DB61C"/>
  </sheetPr>
  <dimension ref="A1:H20"/>
  <sheetViews>
    <sheetView showGridLines="0" workbookViewId="0">
      <selection activeCell="C7" sqref="C7"/>
    </sheetView>
  </sheetViews>
  <sheetFormatPr defaultRowHeight="15"/>
  <cols>
    <col min="1" max="1" width="12.875" style="20" customWidth="1"/>
    <col min="2" max="2" width="19.875" style="20" customWidth="1"/>
    <col min="3" max="3" width="26.375" style="20" customWidth="1"/>
    <col min="4" max="5" width="9" style="20"/>
    <col min="6" max="6" width="20.625" style="20" customWidth="1"/>
    <col min="7" max="7" width="23.875" style="20" customWidth="1"/>
    <col min="8" max="16384" width="9" style="20"/>
  </cols>
  <sheetData>
    <row r="1" spans="1:8" ht="83.25" customHeight="1">
      <c r="A1" s="4"/>
      <c r="B1" s="4"/>
      <c r="C1" s="4"/>
      <c r="D1" s="4"/>
      <c r="E1" s="4"/>
      <c r="F1" s="4"/>
      <c r="G1" s="4"/>
      <c r="H1" s="4"/>
    </row>
    <row r="2" spans="1:8">
      <c r="A2" s="32" t="s">
        <v>48</v>
      </c>
      <c r="B2" s="32"/>
      <c r="C2" s="32"/>
      <c r="D2" s="32"/>
      <c r="E2" s="32"/>
      <c r="F2" s="32"/>
      <c r="G2" s="32"/>
      <c r="H2" s="32"/>
    </row>
    <row r="3" spans="1:8">
      <c r="A3" s="32"/>
      <c r="B3" s="32"/>
      <c r="C3" s="32"/>
      <c r="D3" s="32"/>
      <c r="E3" s="32"/>
      <c r="F3" s="32"/>
      <c r="G3" s="32"/>
      <c r="H3" s="32"/>
    </row>
    <row r="4" spans="1:8">
      <c r="A4" s="33" t="s">
        <v>38</v>
      </c>
      <c r="B4" s="33"/>
      <c r="C4" s="33"/>
      <c r="D4" s="33"/>
      <c r="E4" s="33"/>
      <c r="F4" s="33"/>
      <c r="G4" s="33"/>
      <c r="H4" s="33"/>
    </row>
    <row r="5" spans="1:8" ht="44.25" customHeight="1">
      <c r="A5" s="33"/>
      <c r="B5" s="33"/>
      <c r="C5" s="33"/>
      <c r="D5" s="33"/>
      <c r="E5" s="33"/>
      <c r="F5" s="33"/>
      <c r="G5" s="33"/>
      <c r="H5" s="33"/>
    </row>
    <row r="6" spans="1:8" ht="18" customHeight="1">
      <c r="A6" s="15" t="s">
        <v>33</v>
      </c>
      <c r="B6" s="15" t="s">
        <v>34</v>
      </c>
      <c r="C6" s="15" t="s">
        <v>37</v>
      </c>
    </row>
    <row r="8" spans="1:8" ht="15.75" thickBot="1"/>
    <row r="9" spans="1:8" ht="15.75" thickBot="1">
      <c r="F9" s="21" t="s">
        <v>36</v>
      </c>
      <c r="G9" s="22">
        <f>SUM(C7:C311)</f>
        <v>0</v>
      </c>
      <c r="H9" s="4"/>
    </row>
    <row r="10" spans="1:8">
      <c r="F10" s="4"/>
      <c r="G10" s="4"/>
      <c r="H10" s="4"/>
    </row>
    <row r="11" spans="1:8">
      <c r="F11" s="4"/>
      <c r="G11" s="4"/>
      <c r="H11" s="4"/>
    </row>
    <row r="12" spans="1:8">
      <c r="F12" s="4"/>
      <c r="G12" s="4"/>
      <c r="H12" s="4"/>
    </row>
    <row r="13" spans="1:8">
      <c r="F13" s="4"/>
      <c r="G13" s="4"/>
      <c r="H13" s="4"/>
    </row>
    <row r="14" spans="1:8" ht="15" customHeight="1">
      <c r="F14" s="34" t="s">
        <v>39</v>
      </c>
      <c r="G14" s="34"/>
      <c r="H14" s="34"/>
    </row>
    <row r="15" spans="1:8">
      <c r="F15" s="34"/>
      <c r="G15" s="34"/>
      <c r="H15" s="34"/>
    </row>
    <row r="16" spans="1:8">
      <c r="F16" s="34"/>
      <c r="G16" s="34"/>
      <c r="H16" s="34"/>
    </row>
    <row r="17" spans="6:8">
      <c r="F17" s="34"/>
      <c r="G17" s="34"/>
      <c r="H17" s="34"/>
    </row>
    <row r="18" spans="6:8">
      <c r="F18" s="34"/>
      <c r="G18" s="34"/>
      <c r="H18" s="34"/>
    </row>
    <row r="19" spans="6:8">
      <c r="F19" s="34"/>
      <c r="G19" s="34"/>
      <c r="H19" s="34"/>
    </row>
    <row r="20" spans="6:8">
      <c r="F20" s="34"/>
      <c r="G20" s="34"/>
      <c r="H20" s="34"/>
    </row>
  </sheetData>
  <sheetProtection algorithmName="SHA-512" hashValue="+EBlAFSaN3JCQZRK2CczGpHps2ZWqvVmfxhWMtjEHVB/bc3cdjagvGY6N9l8R+UqVEDiBgjiMNnXYgLAPnqAmg==" saltValue="sYWkg/GzvgkEVkFUnPFydw==" spinCount="100000" sheet="1" objects="1" scenarios="1" selectLockedCells="1"/>
  <mergeCells count="3">
    <mergeCell ref="A2:H3"/>
    <mergeCell ref="A4:H5"/>
    <mergeCell ref="F14:H20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Orientações</vt:lpstr>
      <vt:lpstr>Cálculo por Período</vt:lpstr>
      <vt:lpstr>Resumo</vt:lpstr>
      <vt:lpstr>Notas Diárias (Opicional)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Barros Gomes</dc:creator>
  <cp:lastModifiedBy>Flavia Barros Gomes</cp:lastModifiedBy>
  <cp:lastPrinted>2026-06-22T21:03:36Z</cp:lastPrinted>
  <dcterms:created xsi:type="dcterms:W3CDTF">2026-06-22T21:14:55Z</dcterms:created>
  <dcterms:modified xsi:type="dcterms:W3CDTF">2026-06-22T21:53:54Z</dcterms:modified>
</cp:coreProperties>
</file>